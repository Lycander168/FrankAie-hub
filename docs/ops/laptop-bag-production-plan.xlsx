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訂單參數" sheetId="1" state="visible" r:id="rId3"/>
    <sheet name="②工序與工時" sheetId="2" state="visible" r:id="rId4"/>
    <sheet name="③產能與人力" sheetId="3" state="visible" r:id="rId5"/>
    <sheet name="④物料與備料" sheetId="4" state="visible" r:id="rId6"/>
    <sheet name="⑤品質檢驗計畫" sheetId="5" state="visible" r:id="rId7"/>
    <sheet name="⑥生產排程" sheetId="6" state="visible" r:id="rId8"/>
    <sheet name="⑦風險管控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<sst xmlns="http://schemas.openxmlformats.org/spreadsheetml/2006/main" count="550" uniqueCount="409">
  <si>
    <t xml:space="preserve">電腦包生產作業規劃</t>
  </si>
  <si>
    <r>
      <rPr>
        <sz val="9"/>
        <color rgb="FF5B6B7C"/>
        <rFont val="WenQuanYi Zen Hei"/>
        <family val="2"/>
      </rPr>
      <t xml:space="preserve">黃底</t>
    </r>
    <r>
      <rPr>
        <sz val="9"/>
        <color rgb="FF5B6B7C"/>
        <rFont val="Microsoft JhengHei"/>
        <family val="0"/>
        <charset val="1"/>
      </rPr>
      <t xml:space="preserve">=</t>
    </r>
    <r>
      <rPr>
        <sz val="9"/>
        <color rgb="FF5B6B7C"/>
        <rFont val="WenQuanYi Zen Hei"/>
        <family val="2"/>
      </rPr>
      <t xml:space="preserve">輸入格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填入後其他分頁自動計算</t>
    </r>
    <r>
      <rPr>
        <sz val="9"/>
        <color rgb="FF5B6B7C"/>
        <rFont val="Microsoft JhengHei"/>
        <family val="0"/>
        <charset val="1"/>
      </rPr>
      <t xml:space="preserve">|</t>
    </r>
    <r>
      <rPr>
        <sz val="9"/>
        <color rgb="FF5B6B7C"/>
        <rFont val="WenQuanYi Zen Hei"/>
        <family val="2"/>
      </rPr>
      <t xml:space="preserve">版本 </t>
    </r>
    <r>
      <rPr>
        <sz val="9"/>
        <color rgb="FF5B6B7C"/>
        <rFont val="Microsoft JhengHei"/>
        <family val="0"/>
        <charset val="1"/>
      </rPr>
      <t xml:space="preserve">v1.0|2026-08-10</t>
    </r>
  </si>
  <si>
    <t xml:space="preserve">訂單參數</t>
  </si>
  <si>
    <t xml:space="preserve">項目</t>
  </si>
  <si>
    <t xml:space="preserve">數值</t>
  </si>
  <si>
    <t xml:space="preserve">單位</t>
  </si>
  <si>
    <t xml:space="preserve">說明</t>
  </si>
  <si>
    <t xml:space="preserve">訂單數量</t>
  </si>
  <si>
    <t xml:space="preserve">pcs</t>
  </si>
  <si>
    <t xml:space="preserve">本次生產總量</t>
  </si>
  <si>
    <r>
      <rPr>
        <sz val="11"/>
        <color rgb="FF1F2A37"/>
        <rFont val="WenQuanYi Zen Hei"/>
        <family val="2"/>
      </rPr>
      <t xml:space="preserve">交期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客戶要求出貨日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</si>
  <si>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2026-10-15</t>
  </si>
  <si>
    <t xml:space="preserve">日期</t>
  </si>
  <si>
    <r>
      <rPr>
        <sz val="11"/>
        <color rgb="FF1F2A37"/>
        <rFont val="WenQuanYi Zen Hei"/>
        <family val="2"/>
      </rPr>
      <t xml:space="preserve">以文字填寫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供人工核對用</t>
    </r>
  </si>
  <si>
    <t xml:space="preserve">可用生產工作天</t>
  </si>
  <si>
    <t xml:space="preserve">天</t>
  </si>
  <si>
    <r>
      <rPr>
        <sz val="11"/>
        <color rgb="FF1F2A37"/>
        <rFont val="WenQuanYi Zen Hei"/>
        <family val="2"/>
      </rPr>
      <t xml:space="preserve">從開工到完工的實際可生產天數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已扣除假日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</si>
  <si>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產品複雜度</t>
  </si>
  <si>
    <t xml:space="preserve">中</t>
  </si>
  <si>
    <r>
      <rPr>
        <sz val="11"/>
        <color rgb="FF1F2A37"/>
        <rFont val="WenQuanYi Zen Hei"/>
        <family val="2"/>
      </rPr>
      <t xml:space="preserve">高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中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低</t>
    </r>
  </si>
  <si>
    <r>
      <rPr>
        <sz val="11"/>
        <color rgb="FF1F2A37"/>
        <rFont val="WenQuanYi Zen Hei"/>
        <family val="2"/>
      </rPr>
      <t xml:space="preserve">影響標準工時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見②工序分頁說明</t>
    </r>
  </si>
  <si>
    <t xml:space="preserve">產線參數</t>
  </si>
  <si>
    <t xml:space="preserve">每日工作時數</t>
  </si>
  <si>
    <t xml:space="preserve">小時</t>
  </si>
  <si>
    <t xml:space="preserve">含加班則填實際時數</t>
  </si>
  <si>
    <t xml:space="preserve">每日工作分鐘</t>
  </si>
  <si>
    <t xml:space="preserve">分鐘</t>
  </si>
  <si>
    <t xml:space="preserve">自動計算</t>
  </si>
  <si>
    <t xml:space="preserve">產線效率</t>
  </si>
  <si>
    <t xml:space="preserve">比率</t>
  </si>
  <si>
    <r>
      <rPr>
        <sz val="11"/>
        <color rgb="FF1F2A37"/>
        <rFont val="WenQuanYi Zen Hei"/>
        <family val="2"/>
      </rPr>
      <t xml:space="preserve">扣除換線、休息、異常的實際稼動率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新產品首批建議 </t>
    </r>
    <r>
      <rPr>
        <sz val="11"/>
        <color rgb="FF1F2A37"/>
        <rFont val="Microsoft JhengHei"/>
        <family val="0"/>
        <charset val="1"/>
      </rPr>
      <t xml:space="preserve">0.75</t>
    </r>
  </si>
  <si>
    <t xml:space="preserve">直通良率</t>
  </si>
  <si>
    <r>
      <rPr>
        <sz val="11"/>
        <color rgb="FF1F2A37"/>
        <rFont val="WenQuanYi Zen Hei"/>
        <family val="2"/>
      </rPr>
      <t xml:space="preserve">一次通過率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不良品需重工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會佔用產能</t>
    </r>
  </si>
  <si>
    <r>
      <rPr>
        <sz val="11"/>
        <color rgb="FF1F2A37"/>
        <rFont val="WenQuanYi Zen Hei"/>
        <family val="2"/>
      </rPr>
      <t xml:space="preserve">投入量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含不良補償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</si>
  <si>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自動計算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訂單量</t>
    </r>
    <r>
      <rPr>
        <sz val="11"/>
        <color rgb="FF1F2A37"/>
        <rFont val="Microsoft JhengHei"/>
        <family val="0"/>
        <charset val="1"/>
      </rPr>
      <t xml:space="preserve">÷</t>
    </r>
    <r>
      <rPr>
        <sz val="11"/>
        <color rgb="FF1F2A37"/>
        <rFont val="WenQuanYi Zen Hei"/>
        <family val="2"/>
      </rPr>
      <t xml:space="preserve">良率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進位至 </t>
    </r>
    <r>
      <rPr>
        <sz val="11"/>
        <color rgb="FF1F2A37"/>
        <rFont val="Microsoft JhengHei"/>
        <family val="0"/>
        <charset val="1"/>
      </rPr>
      <t xml:space="preserve">10 </t>
    </r>
    <r>
      <rPr>
        <sz val="11"/>
        <color rgb="FF1F2A37"/>
        <rFont val="WenQuanYi Zen Hei"/>
        <family val="2"/>
      </rPr>
      <t xml:space="preserve">的倍數</t>
    </r>
  </si>
  <si>
    <r>
      <rPr>
        <b val="true"/>
        <sz val="12"/>
        <color rgb="FFB3402F"/>
        <rFont val="WenQuanYi Zen Hei"/>
        <family val="2"/>
      </rPr>
      <t xml:space="preserve">關鍵產出</t>
    </r>
    <r>
      <rPr>
        <b val="true"/>
        <sz val="12"/>
        <color rgb="FFB3402F"/>
        <rFont val="Microsoft JhengHei"/>
        <family val="0"/>
        <charset val="1"/>
      </rPr>
      <t xml:space="preserve">(</t>
    </r>
    <r>
      <rPr>
        <b val="true"/>
        <sz val="12"/>
        <color rgb="FFB3402F"/>
        <rFont val="WenQuanYi Zen Hei"/>
        <family val="2"/>
      </rPr>
      <t xml:space="preserve">自動計算</t>
    </r>
    <r>
      <rPr>
        <b val="true"/>
        <sz val="12"/>
        <color rgb="FFB3402F"/>
        <rFont val="Microsoft JhengHei"/>
        <family val="0"/>
        <charset val="1"/>
      </rPr>
      <t xml:space="preserve">)</t>
    </r>
  </si>
  <si>
    <t xml:space="preserve">每日需求產量</t>
  </si>
  <si>
    <r>
      <rPr>
        <sz val="11"/>
        <color rgb="FF1F2A37"/>
        <rFont val="Microsoft JhengHei"/>
        <family val="0"/>
        <charset val="1"/>
      </rPr>
      <t xml:space="preserve">pcs/</t>
    </r>
    <r>
      <rPr>
        <sz val="11"/>
        <color rgb="FF1F2A37"/>
        <rFont val="WenQuanYi Zen Hei"/>
        <family val="2"/>
      </rPr>
      <t xml:space="preserve">日</t>
    </r>
  </si>
  <si>
    <r>
      <rPr>
        <sz val="11"/>
        <color rgb="FF1F2A37"/>
        <rFont val="WenQuanYi Zen Hei"/>
        <family val="2"/>
      </rPr>
      <t xml:space="preserve">投入量 </t>
    </r>
    <r>
      <rPr>
        <sz val="11"/>
        <color rgb="FF1F2A37"/>
        <rFont val="Microsoft JhengHei"/>
        <family val="0"/>
        <charset val="1"/>
      </rPr>
      <t xml:space="preserve">÷ </t>
    </r>
    <r>
      <rPr>
        <sz val="11"/>
        <color rgb="FF1F2A37"/>
        <rFont val="WenQuanYi Zen Hei"/>
        <family val="2"/>
      </rPr>
      <t xml:space="preserve">可用工作天</t>
    </r>
  </si>
  <si>
    <t xml:space="preserve">總標準工時</t>
  </si>
  <si>
    <r>
      <rPr>
        <sz val="11"/>
        <color rgb="FF1F2A37"/>
        <rFont val="WenQuanYi Zen Hei"/>
        <family val="2"/>
      </rPr>
      <t xml:space="preserve">全部工序工時 </t>
    </r>
    <r>
      <rPr>
        <sz val="11"/>
        <color rgb="FF1F2A37"/>
        <rFont val="Microsoft JhengHei"/>
        <family val="0"/>
        <charset val="1"/>
      </rPr>
      <t xml:space="preserve">× </t>
    </r>
    <r>
      <rPr>
        <sz val="11"/>
        <color rgb="FF1F2A37"/>
        <rFont val="WenQuanYi Zen Hei"/>
        <family val="2"/>
      </rPr>
      <t xml:space="preserve">投入量</t>
    </r>
  </si>
  <si>
    <t xml:space="preserve">理論總人力需求</t>
  </si>
  <si>
    <t xml:space="preserve">人</t>
  </si>
  <si>
    <t xml:space="preserve">詳見③分頁瓶頸分析</t>
  </si>
  <si>
    <t xml:space="preserve">每人每日產出</t>
  </si>
  <si>
    <r>
      <rPr>
        <sz val="11"/>
        <color rgb="FF1F2A37"/>
        <rFont val="WenQuanYi Zen Hei"/>
        <family val="2"/>
      </rPr>
      <t xml:space="preserve">單人日產能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僅參考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實際依流水線平衡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</si>
  <si>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9"/>
        <color rgb="FF5B6B7C"/>
        <rFont val="WenQuanYi Zen Hei"/>
        <family val="2"/>
      </rPr>
      <t xml:space="preserve">※ 標準工時為箱包業一般經驗值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首批試產後務必以實測校正。新產品首件生產建議另抓 </t>
    </r>
    <r>
      <rPr>
        <sz val="9"/>
        <color rgb="FF5B6B7C"/>
        <rFont val="Microsoft JhengHei"/>
        <family val="0"/>
        <charset val="1"/>
      </rPr>
      <t xml:space="preserve">1–2 </t>
    </r>
    <r>
      <rPr>
        <sz val="9"/>
        <color rgb="FF5B6B7C"/>
        <rFont val="WenQuanYi Zen Hei"/>
        <family val="2"/>
      </rPr>
      <t xml:space="preserve">天試產期。</t>
    </r>
  </si>
  <si>
    <r>
      <rPr>
        <sz val="9"/>
        <color rgb="FF5B6B7C"/>
        <rFont val="WenQuanYi Zen Hei"/>
        <family val="2"/>
      </rPr>
      <t xml:space="preserve">※ 交期回推</t>
    </r>
    <r>
      <rPr>
        <sz val="9"/>
        <color rgb="FF5B6B7C"/>
        <rFont val="Microsoft JhengHei"/>
        <family val="0"/>
        <charset val="1"/>
      </rPr>
      <t xml:space="preserve">:</t>
    </r>
    <r>
      <rPr>
        <sz val="9"/>
        <color rgb="FF5B6B7C"/>
        <rFont val="WenQuanYi Zen Hei"/>
        <family val="2"/>
      </rPr>
      <t xml:space="preserve">物料到廠日 </t>
    </r>
    <r>
      <rPr>
        <sz val="9"/>
        <color rgb="FF5B6B7C"/>
        <rFont val="Microsoft JhengHei"/>
        <family val="0"/>
        <charset val="1"/>
      </rPr>
      <t xml:space="preserve">= </t>
    </r>
    <r>
      <rPr>
        <sz val="9"/>
        <color rgb="FF5B6B7C"/>
        <rFont val="WenQuanYi Zen Hei"/>
        <family val="2"/>
      </rPr>
      <t xml:space="preserve">開工日</t>
    </r>
    <r>
      <rPr>
        <sz val="9"/>
        <color rgb="FF5B6B7C"/>
        <rFont val="Microsoft JhengHei"/>
        <family val="0"/>
        <charset val="1"/>
      </rPr>
      <t xml:space="preserve">;</t>
    </r>
    <r>
      <rPr>
        <sz val="9"/>
        <color rgb="FF5B6B7C"/>
        <rFont val="WenQuanYi Zen Hei"/>
        <family val="2"/>
      </rPr>
      <t xml:space="preserve">各物料下單期限見④備料計畫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長前置期物料</t>
    </r>
    <r>
      <rPr>
        <sz val="9"/>
        <color rgb="FF5B6B7C"/>
        <rFont val="Microsoft JhengHei"/>
        <family val="0"/>
        <charset val="1"/>
      </rPr>
      <t xml:space="preserve">(</t>
    </r>
    <r>
      <rPr>
        <sz val="9"/>
        <color rgb="FF5B6B7C"/>
        <rFont val="WenQuanYi Zen Hei"/>
        <family val="2"/>
      </rPr>
      <t xml:space="preserve">五金、特殊面料</t>
    </r>
    <r>
      <rPr>
        <sz val="9"/>
        <color rgb="FF5B6B7C"/>
        <rFont val="Microsoft JhengHei"/>
        <family val="0"/>
        <charset val="1"/>
      </rPr>
      <t xml:space="preserve">)</t>
    </r>
    <r>
      <rPr>
        <sz val="9"/>
        <color rgb="FF5B6B7C"/>
        <rFont val="WenQuanYi Zen Hei"/>
        <family val="2"/>
      </rPr>
      <t xml:space="preserve">是最常見的延誤主因。</t>
    </r>
  </si>
  <si>
    <t xml:space="preserve">工序流程與標準工時</t>
  </si>
  <si>
    <r>
      <rPr>
        <sz val="9"/>
        <color rgb="FF5B6B7C"/>
        <rFont val="WenQuanYi Zen Hei"/>
        <family val="2"/>
      </rPr>
      <t xml:space="preserve">電腦包</t>
    </r>
    <r>
      <rPr>
        <sz val="9"/>
        <color rgb="FF5B6B7C"/>
        <rFont val="Microsoft JhengHei"/>
        <family val="0"/>
        <charset val="1"/>
      </rPr>
      <t xml:space="preserve">(15</t>
    </r>
    <r>
      <rPr>
        <sz val="9"/>
        <color rgb="FF5B6B7C"/>
        <rFont val="WenQuanYi Zen Hei"/>
        <family val="2"/>
      </rPr>
      <t xml:space="preserve">吋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含前袋、隔層、肩帶</t>
    </r>
    <r>
      <rPr>
        <sz val="9"/>
        <color rgb="FF5B6B7C"/>
        <rFont val="Microsoft JhengHei"/>
        <family val="0"/>
        <charset val="1"/>
      </rPr>
      <t xml:space="preserve">)</t>
    </r>
    <r>
      <rPr>
        <sz val="9"/>
        <color rgb="FF5B6B7C"/>
        <rFont val="WenQuanYi Zen Hei"/>
        <family val="2"/>
      </rPr>
      <t xml:space="preserve">標準工序</t>
    </r>
    <r>
      <rPr>
        <sz val="9"/>
        <color rgb="FF5B6B7C"/>
        <rFont val="Microsoft JhengHei"/>
        <family val="0"/>
        <charset val="1"/>
      </rPr>
      <t xml:space="preserve">;</t>
    </r>
    <r>
      <rPr>
        <sz val="9"/>
        <color rgb="FF5B6B7C"/>
        <rFont val="WenQuanYi Zen Hei"/>
        <family val="2"/>
      </rPr>
      <t xml:space="preserve">工時為中等複雜度經驗值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黃底可依實測調整</t>
    </r>
  </si>
  <si>
    <t xml:space="preserve">序</t>
  </si>
  <si>
    <t xml:space="preserve">階段</t>
  </si>
  <si>
    <t xml:space="preserve">工序名稱</t>
  </si>
  <si>
    <r>
      <rPr>
        <b val="true"/>
        <sz val="11"/>
        <color rgb="FFFFFFFF"/>
        <rFont val="WenQuanYi Zen Hei"/>
        <family val="2"/>
      </rPr>
      <t xml:space="preserve">標準工時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分</t>
    </r>
    <r>
      <rPr>
        <b val="true"/>
        <sz val="11"/>
        <color rgb="FFFFFFFF"/>
        <rFont val="Microsoft JhengHei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件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</si>
  <si>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設備</t>
  </si>
  <si>
    <t xml:space="preserve">編組</t>
  </si>
  <si>
    <t xml:space="preserve">備註與品質重點</t>
  </si>
  <si>
    <t xml:space="preserve">裁剪</t>
  </si>
  <si>
    <r>
      <rPr>
        <sz val="11"/>
        <color rgb="FF1F2A37"/>
        <rFont val="WenQuanYi Zen Hei"/>
        <family val="2"/>
      </rPr>
      <t xml:space="preserve">面料裁剪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排版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裁床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</si>
  <si>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裁床</t>
  </si>
  <si>
    <t xml:space="preserve">裁剪組</t>
  </si>
  <si>
    <r>
      <rPr>
        <sz val="11"/>
        <color rgb="FF1F2A37"/>
        <rFont val="WenQuanYi Zen Hei"/>
        <family val="2"/>
      </rPr>
      <t xml:space="preserve">多層裁切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需注意布紋方向與對格</t>
    </r>
  </si>
  <si>
    <t xml:space="preserve">裡布、泡棉、襯裁剪</t>
  </si>
  <si>
    <t xml:space="preserve">泡棉厚度依防護需求</t>
  </si>
  <si>
    <t xml:space="preserve">前製</t>
  </si>
  <si>
    <r>
      <rPr>
        <sz val="11"/>
        <color rgb="FF1F2A37"/>
        <rFont val="WenQuanYi Zen Hei"/>
        <family val="2"/>
      </rPr>
      <t xml:space="preserve">貼合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燙襯</t>
    </r>
  </si>
  <si>
    <r>
      <rPr>
        <sz val="11"/>
        <color rgb="FF1F2A37"/>
        <rFont val="WenQuanYi Zen Hei"/>
        <family val="2"/>
      </rPr>
      <t xml:space="preserve">貼合機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燙台</t>
    </r>
  </si>
  <si>
    <t xml:space="preserve">前製組</t>
  </si>
  <si>
    <r>
      <rPr>
        <sz val="11"/>
        <color rgb="FF1F2A37"/>
        <rFont val="WenQuanYi Zen Hei"/>
        <family val="2"/>
      </rPr>
      <t xml:space="preserve">面料與泡棉貼合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影響成品挺度</t>
    </r>
  </si>
  <si>
    <r>
      <rPr>
        <sz val="11"/>
        <color rgb="FF1F2A37"/>
        <rFont val="WenQuanYi Zen Hei"/>
        <family val="2"/>
      </rPr>
      <t xml:space="preserve">印刷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繡花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織標車縫</t>
    </r>
  </si>
  <si>
    <t xml:space="preserve">繡花機</t>
  </si>
  <si>
    <r>
      <rPr>
        <sz val="11"/>
        <color rgb="FF1F2A37"/>
        <rFont val="WenQuanYi Zen Hei"/>
        <family val="2"/>
      </rPr>
      <t xml:space="preserve">客戶 </t>
    </r>
    <r>
      <rPr>
        <sz val="11"/>
        <color rgb="FF1F2A37"/>
        <rFont val="Microsoft JhengHei"/>
        <family val="0"/>
        <charset val="1"/>
      </rPr>
      <t xml:space="preserve">LOGO;</t>
    </r>
    <r>
      <rPr>
        <sz val="11"/>
        <color rgb="FF1F2A37"/>
        <rFont val="WenQuanYi Zen Hei"/>
        <family val="2"/>
      </rPr>
      <t xml:space="preserve">需先確認打樣色差</t>
    </r>
  </si>
  <si>
    <t xml:space="preserve">車縫</t>
  </si>
  <si>
    <r>
      <rPr>
        <sz val="11"/>
        <color rgb="FF1F2A37"/>
        <rFont val="WenQuanYi Zen Hei"/>
        <family val="2"/>
      </rPr>
      <t xml:space="preserve">前袋組合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含拉鍊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</si>
  <si>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平車</t>
  </si>
  <si>
    <r>
      <rPr>
        <sz val="11"/>
        <color rgb="FF1F2A37"/>
        <rFont val="WenQuanYi Zen Hei"/>
        <family val="2"/>
      </rPr>
      <t xml:space="preserve">車縫</t>
    </r>
    <r>
      <rPr>
        <sz val="11"/>
        <color rgb="FF1F2A37"/>
        <rFont val="Microsoft JhengHei"/>
        <family val="0"/>
        <charset val="1"/>
      </rPr>
      <t xml:space="preserve">A</t>
    </r>
    <r>
      <rPr>
        <sz val="11"/>
        <color rgb="FF1F2A37"/>
        <rFont val="WenQuanYi Zen Hei"/>
        <family val="2"/>
      </rPr>
      <t xml:space="preserve">線</t>
    </r>
  </si>
  <si>
    <t xml:space="preserve">拉鍊車直是常見不良點</t>
  </si>
  <si>
    <t xml:space="preserve">主袋面片車縫</t>
  </si>
  <si>
    <t xml:space="preserve">筆電隔層與內袋</t>
  </si>
  <si>
    <r>
      <rPr>
        <sz val="11"/>
        <color rgb="FF1F2A37"/>
        <rFont val="WenQuanYi Zen Hei"/>
        <family val="2"/>
      </rPr>
      <t xml:space="preserve">車縫</t>
    </r>
    <r>
      <rPr>
        <sz val="11"/>
        <color rgb="FF1F2A37"/>
        <rFont val="Microsoft JhengHei"/>
        <family val="0"/>
        <charset val="1"/>
      </rPr>
      <t xml:space="preserve">B</t>
    </r>
    <r>
      <rPr>
        <sz val="11"/>
        <color rgb="FF1F2A37"/>
        <rFont val="WenQuanYi Zen Hei"/>
        <family val="2"/>
      </rPr>
      <t xml:space="preserve">線</t>
    </r>
  </si>
  <si>
    <t xml:space="preserve">隔層魔鬼氈位置需符合樣品</t>
  </si>
  <si>
    <t xml:space="preserve">裡布組合</t>
  </si>
  <si>
    <t xml:space="preserve">主拉鍊車縫</t>
  </si>
  <si>
    <t xml:space="preserve">拉鍊順暢度為終檢必測項</t>
  </si>
  <si>
    <t xml:space="preserve">組裝</t>
  </si>
  <si>
    <t xml:space="preserve">面裡合體、滾邊</t>
  </si>
  <si>
    <r>
      <rPr>
        <sz val="11"/>
        <color rgb="FF1F2A37"/>
        <rFont val="WenQuanYi Zen Hei"/>
        <family val="2"/>
      </rPr>
      <t xml:space="preserve">高車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滾邊車</t>
    </r>
  </si>
  <si>
    <t xml:space="preserve">組裝組</t>
  </si>
  <si>
    <r>
      <rPr>
        <sz val="11"/>
        <color rgb="FF1F2A37"/>
        <rFont val="WenQuanYi Zen Hei"/>
        <family val="2"/>
      </rPr>
      <t xml:space="preserve">滾邊平整度影響外觀</t>
    </r>
    <r>
      <rPr>
        <sz val="11"/>
        <color rgb="FF1F2A37"/>
        <rFont val="Microsoft JhengHei"/>
        <family val="0"/>
        <charset val="1"/>
      </rPr>
      <t xml:space="preserve">judge</t>
    </r>
  </si>
  <si>
    <t xml:space="preserve">肩帶、把手、五金安裝</t>
  </si>
  <si>
    <r>
      <rPr>
        <sz val="11"/>
        <color rgb="FF1F2A37"/>
        <rFont val="WenQuanYi Zen Hei"/>
        <family val="2"/>
      </rPr>
      <t xml:space="preserve">打釘機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高車</t>
    </r>
  </si>
  <si>
    <t xml:space="preserve">五金拉力測試抽測</t>
  </si>
  <si>
    <t xml:space="preserve">翻面整形</t>
  </si>
  <si>
    <t xml:space="preserve">整燙台</t>
  </si>
  <si>
    <t xml:space="preserve">整理</t>
  </si>
  <si>
    <t xml:space="preserve">剪線頭、清潔</t>
  </si>
  <si>
    <t xml:space="preserve">—</t>
  </si>
  <si>
    <t xml:space="preserve">整理組</t>
  </si>
  <si>
    <t xml:space="preserve">線頭是客訴常見項目</t>
  </si>
  <si>
    <t xml:space="preserve">整燙定型</t>
  </si>
  <si>
    <t xml:space="preserve">檢驗</t>
  </si>
  <si>
    <r>
      <rPr>
        <sz val="11"/>
        <color rgb="FF1F2A37"/>
        <rFont val="WenQuanYi Zen Hei"/>
        <family val="2"/>
      </rPr>
      <t xml:space="preserve">終檢 </t>
    </r>
    <r>
      <rPr>
        <sz val="11"/>
        <color rgb="FF1F2A37"/>
        <rFont val="Microsoft JhengHei"/>
        <family val="0"/>
        <charset val="1"/>
      </rPr>
      <t xml:space="preserve">FQC</t>
    </r>
  </si>
  <si>
    <t xml:space="preserve">檢驗台</t>
  </si>
  <si>
    <t xml:space="preserve">品檢組</t>
  </si>
  <si>
    <t xml:space="preserve">依⑤品質計畫檢查表逐項確認</t>
  </si>
  <si>
    <t xml:space="preserve">包裝</t>
  </si>
  <si>
    <r>
      <rPr>
        <sz val="11"/>
        <color rgb="FF1F2A37"/>
        <rFont val="WenQuanYi Zen Hei"/>
        <family val="2"/>
      </rPr>
      <t xml:space="preserve">吊牌、標籤、</t>
    </r>
    <r>
      <rPr>
        <sz val="11"/>
        <color rgb="FF1F2A37"/>
        <rFont val="Microsoft JhengHei"/>
        <family val="0"/>
        <charset val="1"/>
      </rPr>
      <t xml:space="preserve">PE </t>
    </r>
    <r>
      <rPr>
        <sz val="11"/>
        <color rgb="FF1F2A37"/>
        <rFont val="WenQuanYi Zen Hei"/>
        <family val="2"/>
      </rPr>
      <t xml:space="preserve">袋</t>
    </r>
  </si>
  <si>
    <t xml:space="preserve">包裝組</t>
  </si>
  <si>
    <r>
      <rPr>
        <sz val="11"/>
        <color rgb="FF1F2A37"/>
        <rFont val="WenQuanYi Zen Hei"/>
        <family val="2"/>
      </rPr>
      <t xml:space="preserve">客戶標籤規範務必核對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見⑤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</si>
  <si>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裝內盒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外箱、封箱</t>
    </r>
  </si>
  <si>
    <t xml:space="preserve">封箱機</t>
  </si>
  <si>
    <t xml:space="preserve">外箱標示同樣需核對客戶規範</t>
  </si>
  <si>
    <r>
      <rPr>
        <b val="true"/>
        <sz val="11"/>
        <color rgb="FF1F2A37"/>
        <rFont val="WenQuanYi Zen Hei"/>
        <family val="2"/>
      </rPr>
      <t xml:space="preserve">合計標準工時</t>
    </r>
    <r>
      <rPr>
        <b val="true"/>
        <sz val="11"/>
        <color rgb="FF1F2A37"/>
        <rFont val="Microsoft JhengHei"/>
        <family val="0"/>
        <charset val="1"/>
      </rPr>
      <t xml:space="preserve">(</t>
    </r>
    <r>
      <rPr>
        <b val="true"/>
        <sz val="11"/>
        <color rgb="FF1F2A37"/>
        <rFont val="WenQuanYi Zen Hei"/>
        <family val="2"/>
      </rPr>
      <t xml:space="preserve">分</t>
    </r>
    <r>
      <rPr>
        <b val="true"/>
        <sz val="11"/>
        <color rgb="FF1F2A37"/>
        <rFont val="Microsoft JhengHei"/>
        <family val="0"/>
        <charset val="1"/>
      </rPr>
      <t xml:space="preserve">/</t>
    </r>
    <r>
      <rPr>
        <b val="true"/>
        <sz val="11"/>
        <color rgb="FF1F2A37"/>
        <rFont val="WenQuanYi Zen Hei"/>
        <family val="2"/>
      </rPr>
      <t xml:space="preserve">件</t>
    </r>
    <r>
      <rPr>
        <b val="true"/>
        <sz val="11"/>
        <color rgb="FF1F2A37"/>
        <rFont val="Microsoft JhengHei"/>
        <family val="0"/>
        <charset val="1"/>
      </rPr>
      <t xml:space="preserve">)</t>
    </r>
  </si>
  <si>
    <r>
      <rPr>
        <sz val="9"/>
        <color rgb="FF5B6B7C"/>
        <rFont val="WenQuanYi Zen Hei"/>
        <family val="2"/>
      </rPr>
      <t xml:space="preserve">此為單件總加工時間</t>
    </r>
    <r>
      <rPr>
        <sz val="9"/>
        <color rgb="FF5B6B7C"/>
        <rFont val="Microsoft JhengHei"/>
        <family val="0"/>
        <charset val="1"/>
      </rPr>
      <t xml:space="preserve">;</t>
    </r>
    <r>
      <rPr>
        <sz val="9"/>
        <color rgb="FF5B6B7C"/>
        <rFont val="WenQuanYi Zen Hei"/>
        <family val="2"/>
      </rPr>
      <t xml:space="preserve">實際產出取決於瓶頸站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見③分頁</t>
    </r>
  </si>
  <si>
    <t xml:space="preserve">複雜度調整參考</t>
  </si>
  <si>
    <t xml:space="preserve">複雜度</t>
  </si>
  <si>
    <t xml:space="preserve">特徵</t>
  </si>
  <si>
    <t xml:space="preserve">工時調整</t>
  </si>
  <si>
    <t xml:space="preserve">低</t>
  </si>
  <si>
    <r>
      <rPr>
        <sz val="11"/>
        <color rgb="FF1F2A37"/>
        <rFont val="WenQuanYi Zen Hei"/>
        <family val="2"/>
      </rPr>
      <t xml:space="preserve">單層、無隔層、拉鍊 </t>
    </r>
    <r>
      <rPr>
        <sz val="11"/>
        <color rgb="FF1F2A37"/>
        <rFont val="Microsoft JhengHei"/>
        <family val="0"/>
        <charset val="1"/>
      </rPr>
      <t xml:space="preserve">1 </t>
    </r>
    <r>
      <rPr>
        <sz val="11"/>
        <color rgb="FF1F2A37"/>
        <rFont val="WenQuanYi Zen Hei"/>
        <family val="2"/>
      </rPr>
      <t xml:space="preserve">條、無印刷</t>
    </r>
  </si>
  <si>
    <r>
      <rPr>
        <sz val="11"/>
        <color rgb="FF1F2A37"/>
        <rFont val="WenQuanYi Zen Hei"/>
        <family val="2"/>
      </rPr>
      <t xml:space="preserve">上表 </t>
    </r>
    <r>
      <rPr>
        <sz val="11"/>
        <color rgb="FF1F2A37"/>
        <rFont val="Microsoft JhengHei"/>
        <family val="0"/>
        <charset val="1"/>
      </rPr>
      <t xml:space="preserve">× 0.7</t>
    </r>
  </si>
  <si>
    <r>
      <rPr>
        <sz val="11"/>
        <color rgb="FF1F2A37"/>
        <rFont val="WenQuanYi Zen Hei"/>
        <family val="2"/>
      </rPr>
      <t xml:space="preserve">前袋</t>
    </r>
    <r>
      <rPr>
        <sz val="11"/>
        <color rgb="FF1F2A37"/>
        <rFont val="Microsoft JhengHei"/>
        <family val="0"/>
        <charset val="1"/>
      </rPr>
      <t xml:space="preserve">+</t>
    </r>
    <r>
      <rPr>
        <sz val="11"/>
        <color rgb="FF1F2A37"/>
        <rFont val="WenQuanYi Zen Hei"/>
        <family val="2"/>
      </rPr>
      <t xml:space="preserve">筆電隔層、拉鍊 </t>
    </r>
    <r>
      <rPr>
        <sz val="11"/>
        <color rgb="FF1F2A37"/>
        <rFont val="Microsoft JhengHei"/>
        <family val="0"/>
        <charset val="1"/>
      </rPr>
      <t xml:space="preserve">2–3 </t>
    </r>
    <r>
      <rPr>
        <sz val="11"/>
        <color rgb="FF1F2A37"/>
        <rFont val="WenQuanYi Zen Hei"/>
        <family val="2"/>
      </rPr>
      <t xml:space="preserve">條、單色 </t>
    </r>
    <r>
      <rPr>
        <sz val="11"/>
        <color rgb="FF1F2A37"/>
        <rFont val="Microsoft JhengHei"/>
        <family val="0"/>
        <charset val="1"/>
      </rPr>
      <t xml:space="preserve">LOGO(</t>
    </r>
    <r>
      <rPr>
        <sz val="11"/>
        <color rgb="FF1F2A37"/>
        <rFont val="WenQuanYi Zen Hei"/>
        <family val="2"/>
      </rPr>
      <t xml:space="preserve">本表基準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</si>
  <si>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上表 </t>
    </r>
    <r>
      <rPr>
        <sz val="11"/>
        <color rgb="FF1F2A37"/>
        <rFont val="Microsoft JhengHei"/>
        <family val="0"/>
        <charset val="1"/>
      </rPr>
      <t xml:space="preserve">× 1.0</t>
    </r>
  </si>
  <si>
    <t xml:space="preserve">高</t>
  </si>
  <si>
    <r>
      <rPr>
        <sz val="11"/>
        <color rgb="FF1F2A37"/>
        <rFont val="WenQuanYi Zen Hei"/>
        <family val="2"/>
      </rPr>
      <t xml:space="preserve">多隔層、拉鍊 </t>
    </r>
    <r>
      <rPr>
        <sz val="11"/>
        <color rgb="FF1F2A37"/>
        <rFont val="Microsoft JhengHei"/>
        <family val="0"/>
        <charset val="1"/>
      </rPr>
      <t xml:space="preserve">4 </t>
    </r>
    <r>
      <rPr>
        <sz val="11"/>
        <color rgb="FF1F2A37"/>
        <rFont val="WenQuanYi Zen Hei"/>
        <family val="2"/>
      </rPr>
      <t xml:space="preserve">條以上、多色印刷、特殊五金或防水處理</t>
    </r>
  </si>
  <si>
    <r>
      <rPr>
        <sz val="11"/>
        <color rgb="FF1F2A37"/>
        <rFont val="WenQuanYi Zen Hei"/>
        <family val="2"/>
      </rPr>
      <t xml:space="preserve">上表 </t>
    </r>
    <r>
      <rPr>
        <sz val="11"/>
        <color rgb="FF1F2A37"/>
        <rFont val="Microsoft JhengHei"/>
        <family val="0"/>
        <charset val="1"/>
      </rPr>
      <t xml:space="preserve">× 1.4</t>
    </r>
  </si>
  <si>
    <t xml:space="preserve">產能計算與人力配置</t>
  </si>
  <si>
    <r>
      <rPr>
        <sz val="9"/>
        <color rgb="FF5B6B7C"/>
        <rFont val="WenQuanYi Zen Hei"/>
        <family val="2"/>
      </rPr>
      <t xml:space="preserve">依①的每日需求產量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自動計算各站所需人力</t>
    </r>
    <r>
      <rPr>
        <sz val="9"/>
        <color rgb="FF5B6B7C"/>
        <rFont val="Microsoft JhengHei"/>
        <family val="0"/>
        <charset val="1"/>
      </rPr>
      <t xml:space="preserve">;</t>
    </r>
    <r>
      <rPr>
        <sz val="9"/>
        <color rgb="FF5B6B7C"/>
        <rFont val="WenQuanYi Zen Hei"/>
        <family val="2"/>
      </rPr>
      <t xml:space="preserve">找出瓶頸站是排線的關鍵</t>
    </r>
  </si>
  <si>
    <r>
      <rPr>
        <b val="true"/>
        <sz val="11"/>
        <color rgb="FF1F2A37"/>
        <rFont val="WenQuanYi Zen Hei"/>
        <family val="2"/>
      </rPr>
      <t xml:space="preserve">每日需求產量</t>
    </r>
    <r>
      <rPr>
        <b val="true"/>
        <sz val="11"/>
        <color rgb="FF1F2A37"/>
        <rFont val="Microsoft JhengHei"/>
        <family val="0"/>
        <charset val="1"/>
      </rPr>
      <t xml:space="preserve">(pcs)</t>
    </r>
  </si>
  <si>
    <t xml:space="preserve">每人每日有效工作分鐘</t>
  </si>
  <si>
    <r>
      <rPr>
        <b val="true"/>
        <sz val="11"/>
        <color rgb="FFFFFFFF"/>
        <rFont val="WenQuanYi Zen Hei"/>
        <family val="2"/>
      </rPr>
      <t xml:space="preserve">標準工時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分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</si>
  <si>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理論人力</t>
  </si>
  <si>
    <t xml:space="preserve">配置人力</t>
  </si>
  <si>
    <t xml:space="preserve">該站日產能</t>
  </si>
  <si>
    <t xml:space="preserve">備註</t>
  </si>
  <si>
    <t xml:space="preserve">合計</t>
  </si>
  <si>
    <r>
      <rPr>
        <sz val="9"/>
        <color rgb="FF5B6B7C"/>
        <rFont val="WenQuanYi Zen Hei"/>
        <family val="2"/>
      </rPr>
      <t xml:space="preserve">※「配置人力」為各站分別無條件進位的結果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合計必然大於理論人力。實務排線時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工時短的小站應合併由同一人兼做</t>
    </r>
    <r>
      <rPr>
        <sz val="9"/>
        <color rgb="FF5B6B7C"/>
        <rFont val="Microsoft JhengHei"/>
        <family val="0"/>
        <charset val="1"/>
      </rPr>
      <t xml:space="preserve">(</t>
    </r>
    <r>
      <rPr>
        <sz val="9"/>
        <color rgb="FF5B6B7C"/>
        <rFont val="WenQuanYi Zen Hei"/>
        <family val="2"/>
      </rPr>
      <t xml:space="preserve">例如翻面整形</t>
    </r>
    <r>
      <rPr>
        <sz val="9"/>
        <color rgb="FF5B6B7C"/>
        <rFont val="Microsoft JhengHei"/>
        <family val="0"/>
        <charset val="1"/>
      </rPr>
      <t xml:space="preserve">+</t>
    </r>
    <r>
      <rPr>
        <sz val="9"/>
        <color rgb="FF5B6B7C"/>
        <rFont val="WenQuanYi Zen Hei"/>
        <family val="2"/>
      </rPr>
      <t xml:space="preserve">剪線頭</t>
    </r>
    <r>
      <rPr>
        <sz val="9"/>
        <color rgb="FF5B6B7C"/>
        <rFont val="Microsoft JhengHei"/>
        <family val="0"/>
        <charset val="1"/>
      </rPr>
      <t xml:space="preserve">+</t>
    </r>
    <r>
      <rPr>
        <sz val="9"/>
        <color rgb="FF5B6B7C"/>
        <rFont val="WenQuanYi Zen Hei"/>
        <family val="2"/>
      </rPr>
      <t xml:space="preserve">整燙</t>
    </r>
    <r>
      <rPr>
        <sz val="9"/>
        <color rgb="FF5B6B7C"/>
        <rFont val="Microsoft JhengHei"/>
        <family val="0"/>
        <charset val="1"/>
      </rPr>
      <t xml:space="preserve">),</t>
    </r>
    <r>
      <rPr>
        <sz val="9"/>
        <color rgb="FF5B6B7C"/>
        <rFont val="WenQuanYi Zen Hei"/>
        <family val="2"/>
      </rPr>
      <t xml:space="preserve">實際用人以理論人力進位後再加 </t>
    </r>
    <r>
      <rPr>
        <sz val="9"/>
        <color rgb="FF5B6B7C"/>
        <rFont val="Microsoft JhengHei"/>
        <family val="0"/>
        <charset val="1"/>
      </rPr>
      <t xml:space="preserve">1–2 </t>
    </r>
    <r>
      <rPr>
        <sz val="9"/>
        <color rgb="FF5B6B7C"/>
        <rFont val="WenQuanYi Zen Hei"/>
        <family val="2"/>
      </rPr>
      <t xml:space="preserve">人機動支援為宜。</t>
    </r>
  </si>
  <si>
    <t xml:space="preserve">瓶頸分析</t>
  </si>
  <si>
    <r>
      <rPr>
        <sz val="11"/>
        <color rgb="FF1F2A37"/>
        <rFont val="WenQuanYi Zen Hei"/>
        <family val="2"/>
      </rPr>
      <t xml:space="preserve">瓶頸站日產能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全線最低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</si>
  <si>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整線實際日產能不會超過此值</t>
  </si>
  <si>
    <t xml:space="preserve">需求日產量</t>
  </si>
  <si>
    <t xml:space="preserve">來自①訂單參數</t>
  </si>
  <si>
    <t xml:space="preserve">產能是否足夠</t>
  </si>
  <si>
    <t xml:space="preserve">不足時的處理見下方</t>
  </si>
  <si>
    <t xml:space="preserve">預估完成天數</t>
  </si>
  <si>
    <r>
      <rPr>
        <sz val="11"/>
        <color rgb="FF1F2A37"/>
        <rFont val="WenQuanYi Zen Hei"/>
        <family val="2"/>
      </rPr>
      <t xml:space="preserve">投入量 </t>
    </r>
    <r>
      <rPr>
        <sz val="11"/>
        <color rgb="FF1F2A37"/>
        <rFont val="Microsoft JhengHei"/>
        <family val="0"/>
        <charset val="1"/>
      </rPr>
      <t xml:space="preserve">÷ </t>
    </r>
    <r>
      <rPr>
        <sz val="11"/>
        <color rgb="FF1F2A37"/>
        <rFont val="WenQuanYi Zen Hei"/>
        <family val="2"/>
      </rPr>
      <t xml:space="preserve">瓶頸日產能</t>
    </r>
  </si>
  <si>
    <t xml:space="preserve">對照可用工作天</t>
  </si>
  <si>
    <r>
      <rPr>
        <sz val="11"/>
        <color rgb="FF1F2A37"/>
        <rFont val="WenQuanYi Zen Hei"/>
        <family val="2"/>
      </rPr>
      <t xml:space="preserve">若完成天數 </t>
    </r>
    <r>
      <rPr>
        <sz val="11"/>
        <color rgb="FF1F2A37"/>
        <rFont val="Microsoft JhengHei"/>
        <family val="0"/>
        <charset val="1"/>
      </rPr>
      <t xml:space="preserve">&gt; </t>
    </r>
    <r>
      <rPr>
        <sz val="11"/>
        <color rgb="FF1F2A37"/>
        <rFont val="WenQuanYi Zen Hei"/>
        <family val="2"/>
      </rPr>
      <t xml:space="preserve">可用工作天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需調整</t>
    </r>
  </si>
  <si>
    <r>
      <rPr>
        <b val="true"/>
        <sz val="11"/>
        <color rgb="FF1C5D99"/>
        <rFont val="WenQuanYi Zen Hei"/>
        <family val="2"/>
      </rPr>
      <t xml:space="preserve">產能不足時的處理順序</t>
    </r>
    <r>
      <rPr>
        <b val="true"/>
        <sz val="11"/>
        <color rgb="FF1C5D99"/>
        <rFont val="Microsoft JhengHei"/>
        <family val="0"/>
        <charset val="1"/>
      </rPr>
      <t xml:space="preserve">(</t>
    </r>
    <r>
      <rPr>
        <b val="true"/>
        <sz val="11"/>
        <color rgb="FF1C5D99"/>
        <rFont val="WenQuanYi Zen Hei"/>
        <family val="2"/>
      </rPr>
      <t xml:space="preserve">建議由上而下評估</t>
    </r>
    <r>
      <rPr>
        <b val="true"/>
        <sz val="11"/>
        <color rgb="FF1C5D99"/>
        <rFont val="Microsoft JhengHei"/>
        <family val="0"/>
        <charset val="1"/>
      </rPr>
      <t xml:space="preserve">)</t>
    </r>
  </si>
  <si>
    <t xml:space="preserve">順序</t>
  </si>
  <si>
    <t xml:space="preserve">做法</t>
  </si>
  <si>
    <t xml:space="preserve">注意</t>
  </si>
  <si>
    <t xml:space="preserve">1</t>
  </si>
  <si>
    <t xml:space="preserve">瓶頸站增加人力或設備</t>
  </si>
  <si>
    <r>
      <rPr>
        <sz val="11"/>
        <color rgb="FF1F2A37"/>
        <rFont val="WenQuanYi Zen Hei"/>
        <family val="2"/>
      </rPr>
      <t xml:space="preserve">最有效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先看該站是否可再拆分工序</t>
    </r>
  </si>
  <si>
    <t xml:space="preserve">2</t>
  </si>
  <si>
    <t xml:space="preserve">瓶頸站工序拆分或簡化</t>
  </si>
  <si>
    <t xml:space="preserve">例如將一道長工序拆成兩人分做</t>
  </si>
  <si>
    <t xml:space="preserve">3</t>
  </si>
  <si>
    <r>
      <rPr>
        <sz val="11"/>
        <color rgb="FF1F2A37"/>
        <rFont val="WenQuanYi Zen Hei"/>
        <family val="2"/>
      </rPr>
      <t xml:space="preserve">延長工時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加班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</si>
  <si>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連續加班會使效率與良率下降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超過兩週應改用其他方式</t>
    </r>
  </si>
  <si>
    <t xml:space="preserve">4</t>
  </si>
  <si>
    <t xml:space="preserve">分批出貨</t>
  </si>
  <si>
    <r>
      <rPr>
        <sz val="11"/>
        <color rgb="FF1F2A37"/>
        <rFont val="WenQuanYi Zen Hei"/>
        <family val="2"/>
      </rPr>
      <t xml:space="preserve">與客戶協商先出部分數量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需客戶同意</t>
    </r>
  </si>
  <si>
    <t xml:space="preserve">5</t>
  </si>
  <si>
    <r>
      <rPr>
        <sz val="11"/>
        <color rgb="FF1F2A37"/>
        <rFont val="WenQuanYi Zen Hei"/>
        <family val="2"/>
      </rPr>
      <t xml:space="preserve">外協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委外代工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</si>
  <si>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須先確認外協廠品質能力與樣品確認流程</t>
  </si>
  <si>
    <r>
      <rPr>
        <b val="true"/>
        <sz val="16"/>
        <color rgb="FF1C5D99"/>
        <rFont val="WenQuanYi Zen Hei"/>
        <family val="2"/>
      </rPr>
      <t xml:space="preserve">物料清單</t>
    </r>
    <r>
      <rPr>
        <b val="true"/>
        <sz val="16"/>
        <color rgb="FF1C5D99"/>
        <rFont val="Microsoft JhengHei"/>
        <family val="0"/>
        <charset val="1"/>
      </rPr>
      <t xml:space="preserve">(BOM)</t>
    </r>
    <r>
      <rPr>
        <b val="true"/>
        <sz val="16"/>
        <color rgb="FF1C5D99"/>
        <rFont val="WenQuanYi Zen Hei"/>
        <family val="2"/>
      </rPr>
      <t xml:space="preserve">與備料計畫</t>
    </r>
  </si>
  <si>
    <r>
      <rPr>
        <sz val="9"/>
        <color rgb="FF5B6B7C"/>
        <rFont val="WenQuanYi Zen Hei"/>
        <family val="2"/>
      </rPr>
      <t xml:space="preserve">需求量自動依訂單量計算</t>
    </r>
    <r>
      <rPr>
        <sz val="9"/>
        <color rgb="FF5B6B7C"/>
        <rFont val="Microsoft JhengHei"/>
        <family val="0"/>
        <charset val="1"/>
      </rPr>
      <t xml:space="preserve">;</t>
    </r>
    <r>
      <rPr>
        <sz val="9"/>
        <color rgb="FF5B6B7C"/>
        <rFont val="WenQuanYi Zen Hei"/>
        <family val="2"/>
      </rPr>
      <t xml:space="preserve">下單期限請自交期回推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長前置期物料是最常見的延誤主因</t>
    </r>
  </si>
  <si>
    <t xml:space="preserve">物料類別</t>
  </si>
  <si>
    <r>
      <rPr>
        <b val="true"/>
        <sz val="11"/>
        <color rgb="FFFFFFFF"/>
        <rFont val="WenQuanYi Zen Hei"/>
        <family val="2"/>
      </rPr>
      <t xml:space="preserve">規格</t>
    </r>
    <r>
      <rPr>
        <b val="true"/>
        <sz val="11"/>
        <color rgb="FFFFFFFF"/>
        <rFont val="Microsoft JhengHei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說明</t>
    </r>
  </si>
  <si>
    <t xml:space="preserve">單件用量</t>
  </si>
  <si>
    <t xml:space="preserve">損耗率</t>
  </si>
  <si>
    <t xml:space="preserve">需求量</t>
  </si>
  <si>
    <r>
      <rPr>
        <b val="true"/>
        <sz val="11"/>
        <color rgb="FFFFFFFF"/>
        <rFont val="WenQuanYi Zen Hei"/>
        <family val="2"/>
      </rPr>
      <t xml:space="preserve">前置期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天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</si>
  <si>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主面料</t>
  </si>
  <si>
    <r>
      <rPr>
        <sz val="11"/>
        <color rgb="FF1F2A37"/>
        <rFont val="Microsoft JhengHei"/>
        <family val="0"/>
        <charset val="1"/>
      </rPr>
      <t xml:space="preserve">1680D </t>
    </r>
    <r>
      <rPr>
        <sz val="11"/>
        <color rgb="FF1F2A37"/>
        <rFont val="WenQuanYi Zen Hei"/>
        <family val="2"/>
      </rPr>
      <t xml:space="preserve">尼龍 </t>
    </r>
    <r>
      <rPr>
        <sz val="11"/>
        <color rgb="FF1F2A37"/>
        <rFont val="Microsoft JhengHei"/>
        <family val="0"/>
        <charset val="1"/>
      </rPr>
      <t xml:space="preserve">/ </t>
    </r>
    <r>
      <rPr>
        <sz val="11"/>
        <color rgb="FF1F2A37"/>
        <rFont val="WenQuanYi Zen Hei"/>
        <family val="2"/>
      </rPr>
      <t xml:space="preserve">依樣品確認</t>
    </r>
  </si>
  <si>
    <t xml:space="preserve">碼</t>
  </si>
  <si>
    <r>
      <rPr>
        <sz val="11"/>
        <color rgb="FF1F2A37"/>
        <rFont val="WenQuanYi Zen Hei"/>
        <family val="2"/>
      </rPr>
      <t xml:space="preserve">面料染色批次差異需確認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同批號生產</t>
    </r>
  </si>
  <si>
    <t xml:space="preserve">裡布</t>
  </si>
  <si>
    <r>
      <rPr>
        <sz val="11"/>
        <color rgb="FF1F2A37"/>
        <rFont val="Microsoft JhengHei"/>
        <family val="0"/>
        <charset val="1"/>
      </rPr>
      <t xml:space="preserve">210D </t>
    </r>
    <r>
      <rPr>
        <sz val="11"/>
        <color rgb="FF1F2A37"/>
        <rFont val="WenQuanYi Zen Hei"/>
        <family val="2"/>
      </rPr>
      <t xml:space="preserve">里布</t>
    </r>
  </si>
  <si>
    <t xml:space="preserve">泡棉</t>
  </si>
  <si>
    <r>
      <rPr>
        <sz val="11"/>
        <color rgb="FF1F2A37"/>
        <rFont val="Microsoft JhengHei"/>
        <family val="0"/>
        <charset val="1"/>
      </rPr>
      <t xml:space="preserve">EVA 5mm / </t>
    </r>
    <r>
      <rPr>
        <sz val="11"/>
        <color rgb="FF1F2A37"/>
        <rFont val="WenQuanYi Zen Hei"/>
        <family val="2"/>
      </rPr>
      <t xml:space="preserve">依防護需求</t>
    </r>
  </si>
  <si>
    <t xml:space="preserve">片</t>
  </si>
  <si>
    <t xml:space="preserve">厚度影響筆電防護測試</t>
  </si>
  <si>
    <t xml:space="preserve">襯料</t>
  </si>
  <si>
    <t xml:space="preserve">不織布襯</t>
  </si>
  <si>
    <t xml:space="preserve">主拉鍊</t>
  </si>
  <si>
    <r>
      <rPr>
        <sz val="11"/>
        <color rgb="FF1F2A37"/>
        <rFont val="Microsoft JhengHei"/>
        <family val="0"/>
        <charset val="1"/>
      </rPr>
      <t xml:space="preserve">5# </t>
    </r>
    <r>
      <rPr>
        <sz val="11"/>
        <color rgb="FF1F2A37"/>
        <rFont val="WenQuanYi Zen Hei"/>
        <family val="2"/>
      </rPr>
      <t xml:space="preserve">尼龍拉鍊 </t>
    </r>
    <r>
      <rPr>
        <sz val="11"/>
        <color rgb="FF1F2A37"/>
        <rFont val="Microsoft JhengHei"/>
        <family val="0"/>
        <charset val="1"/>
      </rPr>
      <t xml:space="preserve">/ </t>
    </r>
    <r>
      <rPr>
        <sz val="11"/>
        <color rgb="FF1F2A37"/>
        <rFont val="WenQuanYi Zen Hei"/>
        <family val="2"/>
      </rPr>
      <t xml:space="preserve">雙頭</t>
    </r>
  </si>
  <si>
    <t xml:space="preserve">條</t>
  </si>
  <si>
    <r>
      <rPr>
        <sz val="11"/>
        <color rgb="FF1F2A37"/>
        <rFont val="WenQuanYi Zen Hei"/>
        <family val="2"/>
      </rPr>
      <t xml:space="preserve">長前置期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優先下單</t>
    </r>
  </si>
  <si>
    <t xml:space="preserve">副拉鍊</t>
  </si>
  <si>
    <r>
      <rPr>
        <sz val="11"/>
        <color rgb="FF1F2A37"/>
        <rFont val="Microsoft JhengHei"/>
        <family val="0"/>
        <charset val="1"/>
      </rPr>
      <t xml:space="preserve">3# </t>
    </r>
    <r>
      <rPr>
        <sz val="11"/>
        <color rgb="FF1F2A37"/>
        <rFont val="WenQuanYi Zen Hei"/>
        <family val="2"/>
      </rPr>
      <t xml:space="preserve">尼龍拉鍊</t>
    </r>
  </si>
  <si>
    <t xml:space="preserve">織帶</t>
  </si>
  <si>
    <r>
      <rPr>
        <sz val="11"/>
        <color rgb="FF1F2A37"/>
        <rFont val="Microsoft JhengHei"/>
        <family val="0"/>
        <charset val="1"/>
      </rPr>
      <t xml:space="preserve">38mm PP </t>
    </r>
    <r>
      <rPr>
        <sz val="11"/>
        <color rgb="FF1F2A37"/>
        <rFont val="WenQuanYi Zen Hei"/>
        <family val="2"/>
      </rPr>
      <t xml:space="preserve">織帶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肩帶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</si>
  <si>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五金</t>
  </si>
  <si>
    <r>
      <rPr>
        <sz val="11"/>
        <color rgb="FF1F2A37"/>
        <rFont val="WenQuanYi Zen Hei"/>
        <family val="2"/>
      </rPr>
      <t xml:space="preserve">日字扣 </t>
    </r>
    <r>
      <rPr>
        <sz val="11"/>
        <color rgb="FF1F2A37"/>
        <rFont val="Microsoft JhengHei"/>
        <family val="0"/>
        <charset val="1"/>
      </rPr>
      <t xml:space="preserve">/ </t>
    </r>
    <r>
      <rPr>
        <sz val="11"/>
        <color rgb="FF1F2A37"/>
        <rFont val="WenQuanYi Zen Hei"/>
        <family val="2"/>
      </rPr>
      <t xml:space="preserve">勾扣 </t>
    </r>
    <r>
      <rPr>
        <sz val="11"/>
        <color rgb="FF1F2A37"/>
        <rFont val="Microsoft JhengHei"/>
        <family val="0"/>
        <charset val="1"/>
      </rPr>
      <t xml:space="preserve">/ </t>
    </r>
    <r>
      <rPr>
        <sz val="11"/>
        <color rgb="FF1F2A37"/>
        <rFont val="WenQuanYi Zen Hei"/>
        <family val="2"/>
      </rPr>
      <t xml:space="preserve">調節扣</t>
    </r>
  </si>
  <si>
    <t xml:space="preserve">組</t>
  </si>
  <si>
    <r>
      <rPr>
        <sz val="11"/>
        <color rgb="FF1F2A37"/>
        <rFont val="WenQuanYi Zen Hei"/>
        <family val="2"/>
      </rPr>
      <t xml:space="preserve">長前置期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需附鹽霧測試報告</t>
    </r>
  </si>
  <si>
    <t xml:space="preserve">魔鬼氈</t>
  </si>
  <si>
    <t xml:space="preserve">25mm</t>
  </si>
  <si>
    <t xml:space="preserve">車縫線</t>
  </si>
  <si>
    <r>
      <rPr>
        <sz val="11"/>
        <color rgb="FF1F2A37"/>
        <rFont val="Microsoft JhengHei"/>
        <family val="0"/>
        <charset val="1"/>
      </rPr>
      <t xml:space="preserve">402 </t>
    </r>
    <r>
      <rPr>
        <sz val="11"/>
        <color rgb="FF1F2A37"/>
        <rFont val="WenQuanYi Zen Hei"/>
        <family val="2"/>
      </rPr>
      <t xml:space="preserve">高強線</t>
    </r>
  </si>
  <si>
    <t xml:space="preserve">顏色需與面料配色確認</t>
  </si>
  <si>
    <r>
      <rPr>
        <sz val="11"/>
        <color rgb="FF1F2A37"/>
        <rFont val="WenQuanYi Zen Hei"/>
        <family val="2"/>
      </rPr>
      <t xml:space="preserve">主標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洗標</t>
    </r>
  </si>
  <si>
    <r>
      <rPr>
        <sz val="11"/>
        <color rgb="FF1F2A37"/>
        <rFont val="WenQuanYi Zen Hei"/>
        <family val="2"/>
      </rPr>
      <t xml:space="preserve">織嘜 </t>
    </r>
    <r>
      <rPr>
        <sz val="11"/>
        <color rgb="FF1F2A37"/>
        <rFont val="Microsoft JhengHei"/>
        <family val="0"/>
        <charset val="1"/>
      </rPr>
      <t xml:space="preserve">+ </t>
    </r>
    <r>
      <rPr>
        <sz val="11"/>
        <color rgb="FF1F2A37"/>
        <rFont val="WenQuanYi Zen Hei"/>
        <family val="2"/>
      </rPr>
      <t xml:space="preserve">洗標</t>
    </r>
  </si>
  <si>
    <t xml:space="preserve">內容須經客戶書面確認</t>
  </si>
  <si>
    <t xml:space="preserve">吊牌</t>
  </si>
  <si>
    <r>
      <rPr>
        <sz val="11"/>
        <color rgb="FF1F2A37"/>
        <rFont val="WenQuanYi Zen Hei"/>
        <family val="2"/>
      </rPr>
      <t xml:space="preserve">紙卡 </t>
    </r>
    <r>
      <rPr>
        <sz val="11"/>
        <color rgb="FF1F2A37"/>
        <rFont val="Microsoft JhengHei"/>
        <family val="0"/>
        <charset val="1"/>
      </rPr>
      <t xml:space="preserve">+ </t>
    </r>
    <r>
      <rPr>
        <sz val="11"/>
        <color rgb="FF1F2A37"/>
        <rFont val="WenQuanYi Zen Hei"/>
        <family val="2"/>
      </rPr>
      <t xml:space="preserve">掛繩</t>
    </r>
  </si>
  <si>
    <t xml:space="preserve">客戶規範項目</t>
  </si>
  <si>
    <t xml:space="preserve">產品標籤</t>
  </si>
  <si>
    <r>
      <rPr>
        <sz val="11"/>
        <color rgb="FF1F2A37"/>
        <rFont val="WenQuanYi Zen Hei"/>
        <family val="2"/>
      </rPr>
      <t xml:space="preserve">條碼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規格標籤</t>
    </r>
  </si>
  <si>
    <t xml:space="preserve">張</t>
  </si>
  <si>
    <r>
      <rPr>
        <sz val="11"/>
        <color rgb="FF1F2A37"/>
        <rFont val="WenQuanYi Zen Hei"/>
        <family val="2"/>
      </rPr>
      <t xml:space="preserve">※ 客戶規範重點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務必書面確認後下單</t>
    </r>
  </si>
  <si>
    <r>
      <rPr>
        <sz val="11"/>
        <color rgb="FF1F2A37"/>
        <rFont val="Microsoft JhengHei"/>
        <family val="0"/>
        <charset val="1"/>
      </rPr>
      <t xml:space="preserve">PE </t>
    </r>
    <r>
      <rPr>
        <sz val="11"/>
        <color rgb="FF1F2A37"/>
        <rFont val="WenQuanYi Zen Hei"/>
        <family val="2"/>
      </rPr>
      <t xml:space="preserve">袋</t>
    </r>
  </si>
  <si>
    <r>
      <rPr>
        <sz val="11"/>
        <color rgb="FF1F2A37"/>
        <rFont val="Microsoft JhengHei"/>
        <family val="0"/>
        <charset val="1"/>
      </rPr>
      <t xml:space="preserve">OPP/PE </t>
    </r>
    <r>
      <rPr>
        <sz val="11"/>
        <color rgb="FF1F2A37"/>
        <rFont val="WenQuanYi Zen Hei"/>
        <family val="2"/>
      </rPr>
      <t xml:space="preserve">自黏袋</t>
    </r>
  </si>
  <si>
    <t xml:space="preserve">只</t>
  </si>
  <si>
    <t xml:space="preserve">需確認是否要求警語印刷</t>
  </si>
  <si>
    <t xml:space="preserve">外箱</t>
  </si>
  <si>
    <r>
      <rPr>
        <sz val="11"/>
        <color rgb="FF1F2A37"/>
        <rFont val="WenQuanYi Zen Hei"/>
        <family val="2"/>
      </rPr>
      <t xml:space="preserve">五層瓦楞 </t>
    </r>
    <r>
      <rPr>
        <sz val="11"/>
        <color rgb="FF1F2A37"/>
        <rFont val="Microsoft JhengHei"/>
        <family val="0"/>
        <charset val="1"/>
      </rPr>
      <t xml:space="preserve">/ </t>
    </r>
    <r>
      <rPr>
        <sz val="11"/>
        <color rgb="FF1F2A37"/>
        <rFont val="WenQuanYi Zen Hei"/>
        <family val="2"/>
      </rPr>
      <t xml:space="preserve">依裝箱數</t>
    </r>
  </si>
  <si>
    <t xml:space="preserve">外箱標示同屬客戶規範項目</t>
  </si>
  <si>
    <t xml:space="preserve">備料原則</t>
  </si>
  <si>
    <t xml:space="preserve">下單期限回推</t>
  </si>
  <si>
    <r>
      <rPr>
        <sz val="11"/>
        <color rgb="FF1F2A37"/>
        <rFont val="WenQuanYi Zen Hei"/>
        <family val="2"/>
      </rPr>
      <t xml:space="preserve">各物料下單日 </t>
    </r>
    <r>
      <rPr>
        <sz val="11"/>
        <color rgb="FF1F2A37"/>
        <rFont val="Microsoft JhengHei"/>
        <family val="0"/>
        <charset val="1"/>
      </rPr>
      <t xml:space="preserve">= </t>
    </r>
    <r>
      <rPr>
        <sz val="11"/>
        <color rgb="FF1F2A37"/>
        <rFont val="WenQuanYi Zen Hei"/>
        <family val="2"/>
      </rPr>
      <t xml:space="preserve">開工日 − 前置期 − 檢驗緩衝 </t>
    </r>
    <r>
      <rPr>
        <sz val="11"/>
        <color rgb="FF1F2A37"/>
        <rFont val="Microsoft JhengHei"/>
        <family val="0"/>
        <charset val="1"/>
      </rPr>
      <t xml:space="preserve">3 </t>
    </r>
    <r>
      <rPr>
        <sz val="11"/>
        <color rgb="FF1F2A37"/>
        <rFont val="WenQuanYi Zen Hei"/>
        <family val="2"/>
      </rPr>
      <t xml:space="preserve">天。前置期最長者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五金、拉鍊約 </t>
    </r>
    <r>
      <rPr>
        <sz val="11"/>
        <color rgb="FF1F2A37"/>
        <rFont val="Microsoft JhengHei"/>
        <family val="0"/>
        <charset val="1"/>
      </rPr>
      <t xml:space="preserve">30 </t>
    </r>
    <r>
      <rPr>
        <sz val="11"/>
        <color rgb="FF1F2A37"/>
        <rFont val="WenQuanYi Zen Hei"/>
        <family val="2"/>
      </rPr>
      <t xml:space="preserve">天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決定整批可開工日</t>
    </r>
  </si>
  <si>
    <t xml:space="preserve">損耗率設定</t>
  </si>
  <si>
    <r>
      <rPr>
        <sz val="11"/>
        <color rgb="FF1F2A37"/>
        <rFont val="WenQuanYi Zen Hei"/>
        <family val="2"/>
      </rPr>
      <t xml:space="preserve">面料 </t>
    </r>
    <r>
      <rPr>
        <sz val="11"/>
        <color rgb="FF1F2A37"/>
        <rFont val="Microsoft JhengHei"/>
        <family val="0"/>
        <charset val="1"/>
      </rPr>
      <t xml:space="preserve">8%(</t>
    </r>
    <r>
      <rPr>
        <sz val="11"/>
        <color rgb="FF1F2A37"/>
        <rFont val="WenQuanYi Zen Hei"/>
        <family val="2"/>
      </rPr>
      <t xml:space="preserve">排版損耗</t>
    </r>
    <r>
      <rPr>
        <sz val="11"/>
        <color rgb="FF1F2A37"/>
        <rFont val="Microsoft JhengHei"/>
        <family val="0"/>
        <charset val="1"/>
      </rPr>
      <t xml:space="preserve">+</t>
    </r>
    <r>
      <rPr>
        <sz val="11"/>
        <color rgb="FF1F2A37"/>
        <rFont val="WenQuanYi Zen Hei"/>
        <family val="2"/>
      </rPr>
      <t xml:space="preserve">瑕疵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、五金與包材 </t>
    </r>
    <r>
      <rPr>
        <sz val="11"/>
        <color rgb="FF1F2A37"/>
        <rFont val="Microsoft JhengHei"/>
        <family val="0"/>
        <charset val="1"/>
      </rPr>
      <t xml:space="preserve">3%</t>
    </r>
    <r>
      <rPr>
        <sz val="11"/>
        <color rgb="FF1F2A37"/>
        <rFont val="WenQuanYi Zen Hei"/>
        <family val="2"/>
      </rPr>
      <t xml:space="preserve">、車線 </t>
    </r>
    <r>
      <rPr>
        <sz val="11"/>
        <color rgb="FF1F2A37"/>
        <rFont val="Microsoft JhengHei"/>
        <family val="0"/>
        <charset val="1"/>
      </rPr>
      <t xml:space="preserve">10%</t>
    </r>
    <r>
      <rPr>
        <sz val="11"/>
        <color rgb="FF1F2A37"/>
        <rFont val="WenQuanYi Zen Hei"/>
        <family val="2"/>
      </rPr>
      <t xml:space="preserve">。首次生產建議上調 </t>
    </r>
    <r>
      <rPr>
        <sz val="11"/>
        <color rgb="FF1F2A37"/>
        <rFont val="Microsoft JhengHei"/>
        <family val="0"/>
        <charset val="1"/>
      </rPr>
      <t xml:space="preserve">2%</t>
    </r>
  </si>
  <si>
    <t xml:space="preserve">同批號原則</t>
  </si>
  <si>
    <r>
      <rPr>
        <sz val="11"/>
        <color rgb="FF1F2A37"/>
        <rFont val="WenQuanYi Zen Hei"/>
        <family val="2"/>
      </rPr>
      <t xml:space="preserve">面料與拉鍊須同染色批號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不同批號會有色差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是驗收退貨常見原因</t>
    </r>
  </si>
  <si>
    <t xml:space="preserve">進料檢驗</t>
  </si>
  <si>
    <r>
      <rPr>
        <sz val="11"/>
        <color rgb="FF1F2A37"/>
        <rFont val="WenQuanYi Zen Hei"/>
        <family val="2"/>
      </rPr>
      <t xml:space="preserve">所有物料到廠須經 </t>
    </r>
    <r>
      <rPr>
        <sz val="11"/>
        <color rgb="FF1F2A37"/>
        <rFont val="Microsoft JhengHei"/>
        <family val="0"/>
        <charset val="1"/>
      </rPr>
      <t xml:space="preserve">IQC(</t>
    </r>
    <r>
      <rPr>
        <sz val="11"/>
        <color rgb="FF1F2A37"/>
        <rFont val="WenQuanYi Zen Hei"/>
        <family val="2"/>
      </rPr>
      <t xml:space="preserve">見⑤</t>
    </r>
    <r>
      <rPr>
        <sz val="11"/>
        <color rgb="FF1F2A37"/>
        <rFont val="Microsoft JhengHei"/>
        <family val="0"/>
        <charset val="1"/>
      </rPr>
      <t xml:space="preserve">),</t>
    </r>
    <r>
      <rPr>
        <sz val="11"/>
        <color rgb="FF1F2A37"/>
        <rFont val="WenQuanYi Zen Hei"/>
        <family val="2"/>
      </rPr>
      <t xml:space="preserve">未檢驗不得投產</t>
    </r>
  </si>
  <si>
    <t xml:space="preserve">客戶規範物料</t>
  </si>
  <si>
    <r>
      <rPr>
        <sz val="11"/>
        <color rgb="FF1F2A37"/>
        <rFont val="WenQuanYi Zen Hei"/>
        <family val="2"/>
      </rPr>
      <t xml:space="preserve">標籤、吊牌、外箱標示三項須有客戶書面確認文件後才可下單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並留存確認紀錄</t>
    </r>
  </si>
  <si>
    <t xml:space="preserve">品質檢驗計畫</t>
  </si>
  <si>
    <r>
      <rPr>
        <sz val="9"/>
        <color rgb="FF5B6B7C"/>
        <rFont val="WenQuanYi Zen Hei"/>
        <family val="2"/>
      </rPr>
      <t xml:space="preserve">四道檢驗關卡</t>
    </r>
    <r>
      <rPr>
        <sz val="9"/>
        <color rgb="FF5B6B7C"/>
        <rFont val="Microsoft JhengHei"/>
        <family val="0"/>
        <charset val="1"/>
      </rPr>
      <t xml:space="preserve">;</t>
    </r>
    <r>
      <rPr>
        <sz val="9"/>
        <color rgb="FF5B6B7C"/>
        <rFont val="WenQuanYi Zen Hei"/>
        <family val="2"/>
      </rPr>
      <t xml:space="preserve">客戶規範核對為獨立必檢項目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不可併入一般外觀檢查</t>
    </r>
  </si>
  <si>
    <t xml:space="preserve">檢驗點</t>
  </si>
  <si>
    <t xml:space="preserve">檢驗項目</t>
  </si>
  <si>
    <r>
      <rPr>
        <b val="true"/>
        <sz val="11"/>
        <color rgb="FFFFFFFF"/>
        <rFont val="WenQuanYi Zen Hei"/>
        <family val="2"/>
      </rPr>
      <t xml:space="preserve">頻率</t>
    </r>
    <r>
      <rPr>
        <b val="true"/>
        <sz val="11"/>
        <color rgb="FFFFFFFF"/>
        <rFont val="Microsoft JhengHei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抽樣</t>
    </r>
  </si>
  <si>
    <t xml:space="preserve">判定標準</t>
  </si>
  <si>
    <r>
      <rPr>
        <b val="true"/>
        <sz val="11"/>
        <color rgb="FFFFFFFF"/>
        <rFont val="WenQuanYi Zen Hei"/>
        <family val="2"/>
      </rPr>
      <t xml:space="preserve">負責</t>
    </r>
    <r>
      <rPr>
        <b val="true"/>
        <sz val="11"/>
        <color rgb="FFFFFFFF"/>
        <rFont val="Microsoft JhengHei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紀錄</t>
    </r>
  </si>
  <si>
    <t xml:space="preserve">IQC</t>
  </si>
  <si>
    <t xml:space="preserve">物料進廠</t>
  </si>
  <si>
    <r>
      <rPr>
        <sz val="11"/>
        <color rgb="FF1F2A37"/>
        <rFont val="WenQuanYi Zen Hei"/>
        <family val="2"/>
      </rPr>
      <t xml:space="preserve">面料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色差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對標準色卡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、克重、幅寬、瑕疵
五金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尺寸、電鍍、拉力
拉鍊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順暢度、強度
標籤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內容、尺寸、材質</t>
    </r>
  </si>
  <si>
    <r>
      <rPr>
        <sz val="11"/>
        <color rgb="FF1F2A37"/>
        <rFont val="WenQuanYi Zen Hei"/>
        <family val="2"/>
      </rPr>
      <t xml:space="preserve">每批</t>
    </r>
    <r>
      <rPr>
        <sz val="11"/>
        <color rgb="FF1F2A37"/>
        <rFont val="Microsoft JhengHei"/>
        <family val="0"/>
        <charset val="1"/>
      </rPr>
      <t xml:space="preserve">;AQL 2.5</t>
    </r>
  </si>
  <si>
    <r>
      <rPr>
        <sz val="11"/>
        <color rgb="FF1F2A37"/>
        <rFont val="WenQuanYi Zen Hei"/>
        <family val="2"/>
      </rPr>
      <t xml:space="preserve">色差 </t>
    </r>
    <r>
      <rPr>
        <sz val="11"/>
        <color rgb="FF1F2A37"/>
        <rFont val="Microsoft JhengHei"/>
        <family val="0"/>
        <charset val="1"/>
      </rPr>
      <t xml:space="preserve">4 </t>
    </r>
    <r>
      <rPr>
        <sz val="11"/>
        <color rgb="FF1F2A37"/>
        <rFont val="WenQuanYi Zen Hei"/>
        <family val="2"/>
      </rPr>
      <t xml:space="preserve">級以上
拉力符合規格</t>
    </r>
  </si>
  <si>
    <t xml:space="preserve">品檢組
進料檢驗表</t>
  </si>
  <si>
    <t xml:space="preserve">IPQC</t>
  </si>
  <si>
    <t xml:space="preserve">首件確認</t>
  </si>
  <si>
    <r>
      <rPr>
        <sz val="11"/>
        <color rgb="FF1F2A37"/>
        <rFont val="WenQuanYi Zen Hei"/>
        <family val="2"/>
      </rPr>
      <t xml:space="preserve">首件成品與確認樣品全項比對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尺寸、車工、配色、五金位置、標籤位置</t>
    </r>
  </si>
  <si>
    <t xml:space="preserve">每批開工首件
每次換線</t>
  </si>
  <si>
    <t xml:space="preserve">與樣品一致
經主管簽核</t>
  </si>
  <si>
    <r>
      <rPr>
        <sz val="11"/>
        <color rgb="FF1F2A37"/>
        <rFont val="WenQuanYi Zen Hei"/>
        <family val="2"/>
      </rPr>
      <t xml:space="preserve">品檢</t>
    </r>
    <r>
      <rPr>
        <sz val="11"/>
        <color rgb="FF1F2A37"/>
        <rFont val="Microsoft JhengHei"/>
        <family val="0"/>
        <charset val="1"/>
      </rPr>
      <t xml:space="preserve">+</t>
    </r>
    <r>
      <rPr>
        <sz val="11"/>
        <color rgb="FF1F2A37"/>
        <rFont val="WenQuanYi Zen Hei"/>
        <family val="2"/>
      </rPr>
      <t xml:space="preserve">生管
首件確認表</t>
    </r>
  </si>
  <si>
    <t xml:space="preserve">製程巡檢</t>
  </si>
  <si>
    <r>
      <rPr>
        <sz val="11"/>
        <color rgb="FF1F2A37"/>
        <rFont val="WenQuanYi Zen Hei"/>
        <family val="2"/>
      </rPr>
      <t xml:space="preserve">車縫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針距、線張力、對稱、跳線
組裝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五金牢固、拉鍊順暢
尺寸抽量</t>
    </r>
  </si>
  <si>
    <r>
      <rPr>
        <sz val="11"/>
        <color rgb="FF1F2A37"/>
        <rFont val="WenQuanYi Zen Hei"/>
        <family val="2"/>
      </rPr>
      <t xml:space="preserve">每 </t>
    </r>
    <r>
      <rPr>
        <sz val="11"/>
        <color rgb="FF1F2A37"/>
        <rFont val="Microsoft JhengHei"/>
        <family val="0"/>
        <charset val="1"/>
      </rPr>
      <t xml:space="preserve">2 </t>
    </r>
    <r>
      <rPr>
        <sz val="11"/>
        <color rgb="FF1F2A37"/>
        <rFont val="WenQuanYi Zen Hei"/>
        <family val="2"/>
      </rPr>
      <t xml:space="preserve">小時
每站抽 </t>
    </r>
    <r>
      <rPr>
        <sz val="11"/>
        <color rgb="FF1F2A37"/>
        <rFont val="Microsoft JhengHei"/>
        <family val="0"/>
        <charset val="1"/>
      </rPr>
      <t xml:space="preserve">3 pcs</t>
    </r>
  </si>
  <si>
    <t xml:space="preserve">依作業標準書</t>
  </si>
  <si>
    <t xml:space="preserve">品檢組
巡檢記錄表</t>
  </si>
  <si>
    <t xml:space="preserve">FQC</t>
  </si>
  <si>
    <r>
      <rPr>
        <sz val="11"/>
        <color rgb="FF1F2A37"/>
        <rFont val="WenQuanYi Zen Hei"/>
        <family val="2"/>
      </rPr>
      <t xml:space="preserve">終檢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全檢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</si>
  <si>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外觀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線頭、污漬、破損
功能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拉鍊順暢、五金牢固、隔層尺寸
尺寸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成品三圍
標籤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位置與內容</t>
    </r>
  </si>
  <si>
    <t xml:space="preserve">全檢</t>
  </si>
  <si>
    <t xml:space="preserve">零缺點放行
不良品標示隔離</t>
  </si>
  <si>
    <t xml:space="preserve">品檢組
終檢記錄表</t>
  </si>
  <si>
    <t xml:space="preserve">客戶規範核對</t>
  </si>
  <si>
    <r>
      <rPr>
        <sz val="11"/>
        <color rgb="FF1F2A37"/>
        <rFont val="WenQuanYi Zen Hei"/>
        <family val="2"/>
      </rPr>
      <t xml:space="preserve">★ 產品標籤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內容、規格、位置、方向
★ 吊牌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內容與掛法
★ 包裝方式與裝箱數
★ 外箱標示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嘜頭、條碼、數量</t>
    </r>
  </si>
  <si>
    <r>
      <rPr>
        <sz val="11"/>
        <color rgb="FF1F2A37"/>
        <rFont val="WenQuanYi Zen Hei"/>
        <family val="2"/>
      </rPr>
      <t xml:space="preserve">全檢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標籤</t>
    </r>
    <r>
      <rPr>
        <sz val="11"/>
        <color rgb="FF1F2A37"/>
        <rFont val="Microsoft JhengHei"/>
        <family val="0"/>
        <charset val="1"/>
      </rPr>
      <t xml:space="preserve">)
</t>
    </r>
    <r>
      <rPr>
        <sz val="11"/>
        <color rgb="FF1F2A37"/>
        <rFont val="WenQuanYi Zen Hei"/>
        <family val="2"/>
      </rPr>
      <t xml:space="preserve">每箱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外箱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</si>
  <si>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與客戶書面規範
逐項比對一致</t>
  </si>
  <si>
    <r>
      <rPr>
        <sz val="11"/>
        <color rgb="FF1F2A37"/>
        <rFont val="WenQuanYi Zen Hei"/>
        <family val="2"/>
      </rPr>
      <t xml:space="preserve">品檢</t>
    </r>
    <r>
      <rPr>
        <sz val="11"/>
        <color rgb="FF1F2A37"/>
        <rFont val="Microsoft JhengHei"/>
        <family val="0"/>
        <charset val="1"/>
      </rPr>
      <t xml:space="preserve">+</t>
    </r>
    <r>
      <rPr>
        <sz val="11"/>
        <color rgb="FF1F2A37"/>
        <rFont val="WenQuanYi Zen Hei"/>
        <family val="2"/>
      </rPr>
      <t xml:space="preserve">生管
雙人簽名</t>
    </r>
  </si>
  <si>
    <t xml:space="preserve">OQC</t>
  </si>
  <si>
    <t xml:space="preserve">出貨檢驗</t>
  </si>
  <si>
    <r>
      <rPr>
        <sz val="11"/>
        <color rgb="FF1F2A37"/>
        <rFont val="WenQuanYi Zen Hei"/>
        <family val="2"/>
      </rPr>
      <t xml:space="preserve">依 </t>
    </r>
    <r>
      <rPr>
        <sz val="11"/>
        <color rgb="FF1F2A37"/>
        <rFont val="Microsoft JhengHei"/>
        <family val="0"/>
        <charset val="1"/>
      </rPr>
      <t xml:space="preserve">AQL </t>
    </r>
    <r>
      <rPr>
        <sz val="11"/>
        <color rgb="FF1F2A37"/>
        <rFont val="WenQuanYi Zen Hei"/>
        <family val="2"/>
      </rPr>
      <t xml:space="preserve">抽樣複檢外觀與功能
裝箱數量與外箱標示
拍照存證</t>
    </r>
  </si>
  <si>
    <r>
      <rPr>
        <sz val="11"/>
        <color rgb="FF1F2A37"/>
        <rFont val="Microsoft JhengHei"/>
        <family val="0"/>
        <charset val="1"/>
      </rPr>
      <t xml:space="preserve">AQL 2.5
(</t>
    </r>
    <r>
      <rPr>
        <sz val="11"/>
        <color rgb="FF1F2A37"/>
        <rFont val="WenQuanYi Zen Hei"/>
        <family val="2"/>
      </rPr>
      <t xml:space="preserve">一般檢驗水準 </t>
    </r>
    <r>
      <rPr>
        <sz val="11"/>
        <color rgb="FF1F2A37"/>
        <rFont val="Microsoft JhengHei"/>
        <family val="0"/>
        <charset val="1"/>
      </rPr>
      <t xml:space="preserve">II)</t>
    </r>
  </si>
  <si>
    <t xml:space="preserve">允收後始得出貨</t>
  </si>
  <si>
    <t xml:space="preserve">品檢主管
出貨檢驗報告</t>
  </si>
  <si>
    <r>
      <rPr>
        <b val="true"/>
        <sz val="12"/>
        <color rgb="FFB3402F"/>
        <rFont val="WenQuanYi Zen Hei"/>
        <family val="2"/>
      </rPr>
      <t xml:space="preserve">★ 客戶規範核對為獨立關卡</t>
    </r>
    <r>
      <rPr>
        <b val="true"/>
        <sz val="12"/>
        <color rgb="FFB3402F"/>
        <rFont val="Microsoft JhengHei"/>
        <family val="0"/>
        <charset val="1"/>
      </rPr>
      <t xml:space="preserve">,</t>
    </r>
    <r>
      <rPr>
        <b val="true"/>
        <sz val="12"/>
        <color rgb="FFB3402F"/>
        <rFont val="WenQuanYi Zen Hei"/>
        <family val="2"/>
      </rPr>
      <t xml:space="preserve">必須雙人簽名</t>
    </r>
  </si>
  <si>
    <t xml:space="preserve">為什麼要獨立設關</t>
  </si>
  <si>
    <t xml:space="preserve">歷史教訓</t>
  </si>
  <si>
    <r>
      <rPr>
        <sz val="11"/>
        <color rgb="FF1F2A37"/>
        <rFont val="WenQuanYi Zen Hei"/>
        <family val="2"/>
      </rPr>
      <t xml:space="preserve">先前 </t>
    </r>
    <r>
      <rPr>
        <sz val="11"/>
        <color rgb="FF1F2A37"/>
        <rFont val="Microsoft JhengHei"/>
        <family val="0"/>
        <charset val="1"/>
      </rPr>
      <t xml:space="preserve">PQI 65W </t>
    </r>
    <r>
      <rPr>
        <sz val="11"/>
        <color rgb="FF1F2A37"/>
        <rFont val="WenQuanYi Zen Hei"/>
        <family val="2"/>
      </rPr>
      <t xml:space="preserve">出貨後因產品標籤不符客戶規範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遭客戶驗收退回</t>
    </r>
    <r>
      <rPr>
        <sz val="11"/>
        <color rgb="FF1F2A37"/>
        <rFont val="Microsoft JhengHei"/>
        <family val="0"/>
        <charset val="1"/>
      </rPr>
      <t xml:space="preserve">,15,000 pcs </t>
    </r>
    <r>
      <rPr>
        <sz val="11"/>
        <color rgb="FF1F2A37"/>
        <rFont val="WenQuanYi Zen Hei"/>
        <family val="2"/>
      </rPr>
      <t xml:space="preserve">需全數重貼。根因是出貨檢查表未納入客戶規範核對這一項</t>
    </r>
  </si>
  <si>
    <r>
      <rPr>
        <sz val="11"/>
        <color rgb="FF1F2A37"/>
        <rFont val="WenQuanYi Zen Hei"/>
        <family val="2"/>
      </rPr>
      <t xml:space="preserve">每個客戶建立一份「客戶出貨規範表」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標籤規格與位置、包裝方式、外箱標示</t>
    </r>
    <r>
      <rPr>
        <sz val="11"/>
        <color rgb="FF1F2A37"/>
        <rFont val="Microsoft JhengHei"/>
        <family val="0"/>
        <charset val="1"/>
      </rPr>
      <t xml:space="preserve">),</t>
    </r>
    <r>
      <rPr>
        <sz val="11"/>
        <color rgb="FF1F2A37"/>
        <rFont val="WenQuanYi Zen Hei"/>
        <family val="2"/>
      </rPr>
      <t xml:space="preserve">放在產線與包裝區看得見的位置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不存在個人電腦裡</t>
    </r>
  </si>
  <si>
    <t xml:space="preserve">放行條件</t>
  </si>
  <si>
    <r>
      <rPr>
        <sz val="11"/>
        <color rgb="FF1F2A37"/>
        <rFont val="WenQuanYi Zen Hei"/>
        <family val="2"/>
      </rPr>
      <t xml:space="preserve">首批出貨強制兩人依規範表逐項核對並簽名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規範有變更時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須取得客戶書面確認後才更新規範表</t>
    </r>
  </si>
  <si>
    <r>
      <rPr>
        <b val="true"/>
        <sz val="11"/>
        <color rgb="FF1C5D99"/>
        <rFont val="Microsoft JhengHei"/>
        <family val="0"/>
        <charset val="1"/>
      </rPr>
      <t xml:space="preserve">AQL </t>
    </r>
    <r>
      <rPr>
        <b val="true"/>
        <sz val="11"/>
        <color rgb="FF1C5D99"/>
        <rFont val="WenQuanYi Zen Hei"/>
        <family val="2"/>
      </rPr>
      <t xml:space="preserve">抽樣參考</t>
    </r>
    <r>
      <rPr>
        <b val="true"/>
        <sz val="11"/>
        <color rgb="FF1C5D99"/>
        <rFont val="Microsoft JhengHei"/>
        <family val="0"/>
        <charset val="1"/>
      </rPr>
      <t xml:space="preserve">(</t>
    </r>
    <r>
      <rPr>
        <b val="true"/>
        <sz val="11"/>
        <color rgb="FF1C5D99"/>
        <rFont val="WenQuanYi Zen Hei"/>
        <family val="2"/>
      </rPr>
      <t xml:space="preserve">一般檢驗水準 </t>
    </r>
    <r>
      <rPr>
        <b val="true"/>
        <sz val="11"/>
        <color rgb="FF1C5D99"/>
        <rFont val="Microsoft JhengHei"/>
        <family val="0"/>
        <charset val="1"/>
      </rPr>
      <t xml:space="preserve">II,AQL 2.5)</t>
    </r>
  </si>
  <si>
    <r>
      <rPr>
        <b val="true"/>
        <sz val="11"/>
        <color rgb="FFFFFFFF"/>
        <rFont val="WenQuanYi Zen Hei"/>
        <family val="2"/>
      </rPr>
      <t xml:space="preserve">批量</t>
    </r>
    <r>
      <rPr>
        <b val="true"/>
        <sz val="11"/>
        <color rgb="FFFFFFFF"/>
        <rFont val="Microsoft JhengHei"/>
        <family val="0"/>
        <charset val="1"/>
      </rPr>
      <t xml:space="preserve">(pcs)</t>
    </r>
  </si>
  <si>
    <t xml:space="preserve">抽樣數</t>
  </si>
  <si>
    <r>
      <rPr>
        <b val="true"/>
        <sz val="11"/>
        <color rgb="FFFFFFFF"/>
        <rFont val="WenQuanYi Zen Hei"/>
        <family val="2"/>
      </rPr>
      <t xml:space="preserve">允收數 </t>
    </r>
    <r>
      <rPr>
        <b val="true"/>
        <sz val="11"/>
        <color rgb="FFFFFFFF"/>
        <rFont val="Microsoft JhengHei"/>
        <family val="0"/>
        <charset val="1"/>
      </rPr>
      <t xml:space="preserve">Ac</t>
    </r>
  </si>
  <si>
    <r>
      <rPr>
        <b val="true"/>
        <sz val="11"/>
        <color rgb="FFFFFFFF"/>
        <rFont val="WenQuanYi Zen Hei"/>
        <family val="2"/>
      </rPr>
      <t xml:space="preserve">拒收數 </t>
    </r>
    <r>
      <rPr>
        <b val="true"/>
        <sz val="11"/>
        <color rgb="FFFFFFFF"/>
        <rFont val="Microsoft JhengHei"/>
        <family val="0"/>
        <charset val="1"/>
      </rPr>
      <t xml:space="preserve">Re</t>
    </r>
  </si>
  <si>
    <t xml:space="preserve">281 – 500</t>
  </si>
  <si>
    <t xml:space="preserve">50</t>
  </si>
  <si>
    <t xml:space="preserve">501 – 1,200</t>
  </si>
  <si>
    <t xml:space="preserve">80</t>
  </si>
  <si>
    <t xml:space="preserve">6</t>
  </si>
  <si>
    <t xml:space="preserve">1,201 – 3,200</t>
  </si>
  <si>
    <t xml:space="preserve">125</t>
  </si>
  <si>
    <t xml:space="preserve">7</t>
  </si>
  <si>
    <t xml:space="preserve">8</t>
  </si>
  <si>
    <t xml:space="preserve">3,201 – 10,000</t>
  </si>
  <si>
    <t xml:space="preserve">200</t>
  </si>
  <si>
    <t xml:space="preserve">10</t>
  </si>
  <si>
    <t xml:space="preserve">11</t>
  </si>
  <si>
    <t xml:space="preserve">10,001 – 35,000</t>
  </si>
  <si>
    <t xml:space="preserve">315</t>
  </si>
  <si>
    <t xml:space="preserve">14</t>
  </si>
  <si>
    <t xml:space="preserve">15</t>
  </si>
  <si>
    <t xml:space="preserve">生產排程與里程碑</t>
  </si>
  <si>
    <r>
      <rPr>
        <sz val="9"/>
        <color rgb="FF5B6B7C"/>
        <rFont val="WenQuanYi Zen Hei"/>
        <family val="2"/>
      </rPr>
      <t xml:space="preserve">以開工日為 </t>
    </r>
    <r>
      <rPr>
        <sz val="9"/>
        <color rgb="FF5B6B7C"/>
        <rFont val="Microsoft JhengHei"/>
        <family val="0"/>
        <charset val="1"/>
      </rPr>
      <t xml:space="preserve">D0 </t>
    </r>
    <r>
      <rPr>
        <sz val="9"/>
        <color rgb="FF5B6B7C"/>
        <rFont val="WenQuanYi Zen Hei"/>
        <family val="2"/>
      </rPr>
      <t xml:space="preserve">回推與順推</t>
    </r>
    <r>
      <rPr>
        <sz val="9"/>
        <color rgb="FF5B6B7C"/>
        <rFont val="Microsoft JhengHei"/>
        <family val="0"/>
        <charset val="1"/>
      </rPr>
      <t xml:space="preserve">;</t>
    </r>
    <r>
      <rPr>
        <sz val="9"/>
        <color rgb="FF5B6B7C"/>
        <rFont val="WenQuanYi Zen Hei"/>
        <family val="2"/>
      </rPr>
      <t xml:space="preserve">實際日期請依①的交期填入</t>
    </r>
  </si>
  <si>
    <t xml:space="preserve">作業項目</t>
  </si>
  <si>
    <r>
      <rPr>
        <b val="true"/>
        <sz val="11"/>
        <color rgb="FFFFFFFF"/>
        <rFont val="WenQuanYi Zen Hei"/>
        <family val="2"/>
      </rPr>
      <t xml:space="preserve">起</t>
    </r>
    <r>
      <rPr>
        <b val="true"/>
        <sz val="11"/>
        <color rgb="FFFFFFFF"/>
        <rFont val="Microsoft JhengHei"/>
        <family val="0"/>
        <charset val="1"/>
      </rPr>
      <t xml:space="preserve">(D±)</t>
    </r>
  </si>
  <si>
    <r>
      <rPr>
        <b val="true"/>
        <sz val="11"/>
        <color rgb="FFFFFFFF"/>
        <rFont val="WenQuanYi Zen Hei"/>
        <family val="2"/>
      </rPr>
      <t xml:space="preserve">迄</t>
    </r>
    <r>
      <rPr>
        <b val="true"/>
        <sz val="11"/>
        <color rgb="FFFFFFFF"/>
        <rFont val="Microsoft JhengHei"/>
        <family val="0"/>
        <charset val="1"/>
      </rPr>
      <t xml:space="preserve">(D±)</t>
    </r>
  </si>
  <si>
    <t xml:space="preserve">負責</t>
  </si>
  <si>
    <t xml:space="preserve">重點</t>
  </si>
  <si>
    <t xml:space="preserve">前置</t>
  </si>
  <si>
    <r>
      <rPr>
        <sz val="11"/>
        <color rgb="FF1F2A37"/>
        <rFont val="WenQuanYi Zen Hei"/>
        <family val="2"/>
      </rPr>
      <t xml:space="preserve">樣品確認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客戶簽樣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</si>
  <si>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D-45</t>
  </si>
  <si>
    <t xml:space="preserve">D-40</t>
  </si>
  <si>
    <r>
      <rPr>
        <sz val="11"/>
        <color rgb="FF1F2A37"/>
        <rFont val="WenQuanYi Zen Hei"/>
        <family val="2"/>
      </rPr>
      <t xml:space="preserve">業務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開發</t>
    </r>
  </si>
  <si>
    <t xml:space="preserve">含標籤與包裝規範書面確認</t>
  </si>
  <si>
    <r>
      <rPr>
        <sz val="11"/>
        <color rgb="FF1F2A37"/>
        <rFont val="Microsoft JhengHei"/>
        <family val="0"/>
        <charset val="1"/>
      </rPr>
      <t xml:space="preserve">BOM </t>
    </r>
    <r>
      <rPr>
        <sz val="11"/>
        <color rgb="FF1F2A37"/>
        <rFont val="WenQuanYi Zen Hei"/>
        <family val="2"/>
      </rPr>
      <t xml:space="preserve">確認與詢價</t>
    </r>
  </si>
  <si>
    <t xml:space="preserve">D-35</t>
  </si>
  <si>
    <t xml:space="preserve">採購</t>
  </si>
  <si>
    <r>
      <rPr>
        <sz val="11"/>
        <color rgb="FF1F2A37"/>
        <rFont val="WenQuanYi Zen Hei"/>
        <family val="2"/>
      </rPr>
      <t xml:space="preserve">長前置期物料下單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拉鍊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五金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</si>
  <si>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D-33</t>
  </si>
  <si>
    <t xml:space="preserve">★ 決定可否準時開工的關鍵</t>
  </si>
  <si>
    <t xml:space="preserve">面料下單</t>
  </si>
  <si>
    <t xml:space="preserve">D-30</t>
  </si>
  <si>
    <t xml:space="preserve">D-28</t>
  </si>
  <si>
    <t xml:space="preserve">確認同批染色</t>
  </si>
  <si>
    <t xml:space="preserve">包材與標籤下單</t>
  </si>
  <si>
    <t xml:space="preserve">D-18</t>
  </si>
  <si>
    <t xml:space="preserve">D-16</t>
  </si>
  <si>
    <t xml:space="preserve">須有客戶書面確認後下單</t>
  </si>
  <si>
    <t xml:space="preserve">備料</t>
  </si>
  <si>
    <r>
      <rPr>
        <sz val="11"/>
        <color rgb="FF1F2A37"/>
        <rFont val="WenQuanYi Zen Hei"/>
        <family val="2"/>
      </rPr>
      <t xml:space="preserve">物料陸續進廠 </t>
    </r>
    <r>
      <rPr>
        <sz val="11"/>
        <color rgb="FF1F2A37"/>
        <rFont val="Microsoft JhengHei"/>
        <family val="0"/>
        <charset val="1"/>
      </rPr>
      <t xml:space="preserve">+ IQC</t>
    </r>
  </si>
  <si>
    <t xml:space="preserve">D-10</t>
  </si>
  <si>
    <t xml:space="preserve">D-2</t>
  </si>
  <si>
    <r>
      <rPr>
        <sz val="11"/>
        <color rgb="FF1F2A37"/>
        <rFont val="WenQuanYi Zen Hei"/>
        <family val="2"/>
      </rPr>
      <t xml:space="preserve">倉儲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品檢</t>
    </r>
  </si>
  <si>
    <t xml:space="preserve">未檢驗不得投產</t>
  </si>
  <si>
    <r>
      <rPr>
        <sz val="11"/>
        <color rgb="FF1F2A37"/>
        <rFont val="WenQuanYi Zen Hei"/>
        <family val="2"/>
      </rPr>
      <t xml:space="preserve">產前會議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工廠</t>
    </r>
    <r>
      <rPr>
        <sz val="11"/>
        <color rgb="FF1F2A37"/>
        <rFont val="Microsoft JhengHei"/>
        <family val="0"/>
        <charset val="1"/>
      </rPr>
      <t xml:space="preserve">+</t>
    </r>
    <r>
      <rPr>
        <sz val="11"/>
        <color rgb="FF1F2A37"/>
        <rFont val="WenQuanYi Zen Hei"/>
        <family val="2"/>
      </rPr>
      <t xml:space="preserve">品管</t>
    </r>
    <r>
      <rPr>
        <sz val="11"/>
        <color rgb="FF1F2A37"/>
        <rFont val="Microsoft JhengHei"/>
        <family val="0"/>
        <charset val="1"/>
      </rPr>
      <t xml:space="preserve">+</t>
    </r>
    <r>
      <rPr>
        <sz val="11"/>
        <color rgb="FF1F2A37"/>
        <rFont val="WenQuanYi Zen Hei"/>
        <family val="2"/>
      </rPr>
      <t xml:space="preserve">生管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</si>
  <si>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生管</t>
  </si>
  <si>
    <t xml:space="preserve">確認工序、樣品、規範表</t>
  </si>
  <si>
    <t xml:space="preserve">生產</t>
  </si>
  <si>
    <t xml:space="preserve">試產與首件確認</t>
  </si>
  <si>
    <t xml:space="preserve">D0</t>
  </si>
  <si>
    <t xml:space="preserve">D1</t>
  </si>
  <si>
    <r>
      <rPr>
        <sz val="11"/>
        <color rgb="FF1F2A37"/>
        <rFont val="WenQuanYi Zen Hei"/>
        <family val="2"/>
      </rPr>
      <t xml:space="preserve">生管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品檢</t>
    </r>
  </si>
  <si>
    <t xml:space="preserve">以實測校正標準工時與排程</t>
  </si>
  <si>
    <r>
      <rPr>
        <sz val="11"/>
        <color rgb="FF1F2A37"/>
        <rFont val="WenQuanYi Zen Hei"/>
        <family val="2"/>
      </rPr>
      <t xml:space="preserve">量產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依③人力配置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</si>
  <si>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D+n</t>
  </si>
  <si>
    <r>
      <rPr>
        <sz val="11"/>
        <color rgb="FF1F2A37"/>
        <rFont val="Microsoft JhengHei"/>
        <family val="0"/>
        <charset val="1"/>
      </rPr>
      <t xml:space="preserve">n </t>
    </r>
    <r>
      <rPr>
        <sz val="11"/>
        <color rgb="FF1F2A37"/>
        <rFont val="WenQuanYi Zen Hei"/>
        <family val="2"/>
      </rPr>
      <t xml:space="preserve">依③的預估完成天數</t>
    </r>
  </si>
  <si>
    <t xml:space="preserve">全期</t>
  </si>
  <si>
    <t xml:space="preserve">品檢</t>
  </si>
  <si>
    <r>
      <rPr>
        <sz val="11"/>
        <color rgb="FF1F2A37"/>
        <rFont val="WenQuanYi Zen Hei"/>
        <family val="2"/>
      </rPr>
      <t xml:space="preserve">每 </t>
    </r>
    <r>
      <rPr>
        <sz val="11"/>
        <color rgb="FF1F2A37"/>
        <rFont val="Microsoft JhengHei"/>
        <family val="0"/>
        <charset val="1"/>
      </rPr>
      <t xml:space="preserve">2 </t>
    </r>
    <r>
      <rPr>
        <sz val="11"/>
        <color rgb="FF1F2A37"/>
        <rFont val="WenQuanYi Zen Hei"/>
        <family val="2"/>
      </rPr>
      <t xml:space="preserve">小時</t>
    </r>
  </si>
  <si>
    <t xml:space="preserve">後段</t>
  </si>
  <si>
    <t xml:space="preserve">終檢與客戶規範核對</t>
  </si>
  <si>
    <t xml:space="preserve">雙人簽名</t>
  </si>
  <si>
    <t xml:space="preserve">包裝與裝箱</t>
  </si>
  <si>
    <t xml:space="preserve">D+2</t>
  </si>
  <si>
    <t xml:space="preserve">D+n+1</t>
  </si>
  <si>
    <r>
      <rPr>
        <sz val="11"/>
        <color rgb="FF1F2A37"/>
        <rFont val="WenQuanYi Zen Hei"/>
        <family val="2"/>
      </rPr>
      <t xml:space="preserve">邊生產邊包裝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不留到最後</t>
    </r>
  </si>
  <si>
    <t xml:space="preserve">出貨</t>
  </si>
  <si>
    <r>
      <rPr>
        <sz val="11"/>
        <color rgb="FF1F2A37"/>
        <rFont val="Microsoft JhengHei"/>
        <family val="0"/>
        <charset val="1"/>
      </rPr>
      <t xml:space="preserve">OQC </t>
    </r>
    <r>
      <rPr>
        <sz val="11"/>
        <color rgb="FF1F2A37"/>
        <rFont val="WenQuanYi Zen Hei"/>
        <family val="2"/>
      </rPr>
      <t xml:space="preserve">出貨檢驗</t>
    </r>
  </si>
  <si>
    <t xml:space="preserve">D+n+2</t>
  </si>
  <si>
    <t xml:space="preserve">品檢主管</t>
  </si>
  <si>
    <r>
      <rPr>
        <sz val="11"/>
        <color rgb="FF1F2A37"/>
        <rFont val="Microsoft JhengHei"/>
        <family val="0"/>
        <charset val="1"/>
      </rPr>
      <t xml:space="preserve">AQL </t>
    </r>
    <r>
      <rPr>
        <sz val="11"/>
        <color rgb="FF1F2A37"/>
        <rFont val="WenQuanYi Zen Hei"/>
        <family val="2"/>
      </rPr>
      <t xml:space="preserve">抽樣 </t>
    </r>
    <r>
      <rPr>
        <sz val="11"/>
        <color rgb="FF1F2A37"/>
        <rFont val="Microsoft JhengHei"/>
        <family val="0"/>
        <charset val="1"/>
      </rPr>
      <t xml:space="preserve">+ </t>
    </r>
    <r>
      <rPr>
        <sz val="11"/>
        <color rgb="FF1F2A37"/>
        <rFont val="WenQuanYi Zen Hei"/>
        <family val="2"/>
      </rPr>
      <t xml:space="preserve">拍照存證</t>
    </r>
  </si>
  <si>
    <r>
      <rPr>
        <sz val="11"/>
        <color rgb="FF1F2A37"/>
        <rFont val="WenQuanYi Zen Hei"/>
        <family val="2"/>
      </rPr>
      <t xml:space="preserve">裝櫃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交運</t>
    </r>
  </si>
  <si>
    <t xml:space="preserve">D+n+3</t>
  </si>
  <si>
    <t xml:space="preserve">倉儲</t>
  </si>
  <si>
    <t xml:space="preserve">排程原則</t>
  </si>
  <si>
    <t xml:space="preserve">原則</t>
  </si>
  <si>
    <r>
      <rPr>
        <sz val="11"/>
        <color rgb="FF1F2A37"/>
        <rFont val="WenQuanYi Zen Hei"/>
        <family val="2"/>
      </rPr>
      <t xml:space="preserve">交期回推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不是順推</t>
    </r>
  </si>
  <si>
    <r>
      <rPr>
        <sz val="11"/>
        <color rgb="FF1F2A37"/>
        <rFont val="WenQuanYi Zen Hei"/>
        <family val="2"/>
      </rPr>
      <t xml:space="preserve">由客戶交期往前推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長前置期物料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拉鍊、五金約 </t>
    </r>
    <r>
      <rPr>
        <sz val="11"/>
        <color rgb="FF1F2A37"/>
        <rFont val="Microsoft JhengHei"/>
        <family val="0"/>
        <charset val="1"/>
      </rPr>
      <t xml:space="preserve">30 </t>
    </r>
    <r>
      <rPr>
        <sz val="11"/>
        <color rgb="FF1F2A37"/>
        <rFont val="WenQuanYi Zen Hei"/>
        <family val="2"/>
      </rPr>
      <t xml:space="preserve">天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決定最早可開工日。多數延誤來自物料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不是產線</t>
    </r>
  </si>
  <si>
    <t xml:space="preserve">試產期必須留</t>
  </si>
  <si>
    <r>
      <rPr>
        <sz val="11"/>
        <color rgb="FF1F2A37"/>
        <rFont val="WenQuanYi Zen Hei"/>
        <family val="2"/>
      </rPr>
      <t xml:space="preserve">首批新產品留 </t>
    </r>
    <r>
      <rPr>
        <sz val="11"/>
        <color rgb="FF1F2A37"/>
        <rFont val="Microsoft JhengHei"/>
        <family val="0"/>
        <charset val="1"/>
      </rPr>
      <t xml:space="preserve">1–2 </t>
    </r>
    <r>
      <rPr>
        <sz val="11"/>
        <color rgb="FF1F2A37"/>
        <rFont val="WenQuanYi Zen Hei"/>
        <family val="2"/>
      </rPr>
      <t xml:space="preserve">天試產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以實測工時校正排程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跳過試產的排程幾乎都會失準</t>
    </r>
  </si>
  <si>
    <t xml:space="preserve">包裝不要集中在最後</t>
  </si>
  <si>
    <r>
      <rPr>
        <sz val="11"/>
        <color rgb="FF1F2A37"/>
        <rFont val="WenQuanYi Zen Hei"/>
        <family val="2"/>
      </rPr>
      <t xml:space="preserve">邊生產邊包裝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避免最後兩天全廠塞在包裝站</t>
    </r>
  </si>
  <si>
    <r>
      <rPr>
        <sz val="11"/>
        <color rgb="FF1F2A37"/>
        <rFont val="WenQuanYi Zen Hei"/>
        <family val="2"/>
      </rPr>
      <t xml:space="preserve">緩衝 </t>
    </r>
    <r>
      <rPr>
        <sz val="11"/>
        <color rgb="FF1F2A37"/>
        <rFont val="Microsoft JhengHei"/>
        <family val="0"/>
        <charset val="1"/>
      </rPr>
      <t xml:space="preserve">20%</t>
    </r>
  </si>
  <si>
    <r>
      <rPr>
        <sz val="11"/>
        <color rgb="FF1F2A37"/>
        <rFont val="WenQuanYi Zen Hei"/>
        <family val="2"/>
      </rPr>
      <t xml:space="preserve">排程總工期預留 </t>
    </r>
    <r>
      <rPr>
        <sz val="11"/>
        <color rgb="FF1F2A37"/>
        <rFont val="Microsoft JhengHei"/>
        <family val="0"/>
        <charset val="1"/>
      </rPr>
      <t xml:space="preserve">20% </t>
    </r>
    <r>
      <rPr>
        <sz val="11"/>
        <color rgb="FF1F2A37"/>
        <rFont val="WenQuanYi Zen Hei"/>
        <family val="2"/>
      </rPr>
      <t xml:space="preserve">緩衝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若已無緩衝空間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及早與客戶協商分批出貨</t>
    </r>
  </si>
  <si>
    <t xml:space="preserve">瓶頸站優先排人</t>
  </si>
  <si>
    <r>
      <rPr>
        <sz val="11"/>
        <color rgb="FF1F2A37"/>
        <rFont val="WenQuanYi Zen Hei"/>
        <family val="2"/>
      </rPr>
      <t xml:space="preserve">人力先滿足瓶頸站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其餘站別再依序配置</t>
    </r>
  </si>
  <si>
    <t xml:space="preserve">風險項目與因應</t>
  </si>
  <si>
    <r>
      <rPr>
        <sz val="9"/>
        <color rgb="FF5B6B7C"/>
        <rFont val="WenQuanYi Zen Hei"/>
        <family val="2"/>
      </rPr>
      <t xml:space="preserve">依發生機率與影響排序</t>
    </r>
    <r>
      <rPr>
        <sz val="9"/>
        <color rgb="FF5B6B7C"/>
        <rFont val="Microsoft JhengHei"/>
        <family val="0"/>
        <charset val="1"/>
      </rPr>
      <t xml:space="preserve">;</t>
    </r>
    <r>
      <rPr>
        <sz val="9"/>
        <color rgb="FF5B6B7C"/>
        <rFont val="WenQuanYi Zen Hei"/>
        <family val="2"/>
      </rPr>
      <t xml:space="preserve">每項均指定負責人與預防措施</t>
    </r>
  </si>
  <si>
    <t xml:space="preserve">風險項目</t>
  </si>
  <si>
    <t xml:space="preserve">機率</t>
  </si>
  <si>
    <t xml:space="preserve">影響</t>
  </si>
  <si>
    <t xml:space="preserve">預防措施</t>
  </si>
  <si>
    <t xml:space="preserve">發生時的因應</t>
  </si>
  <si>
    <r>
      <rPr>
        <sz val="11"/>
        <color rgb="FF1F2A37"/>
        <rFont val="WenQuanYi Zen Hei"/>
        <family val="2"/>
      </rPr>
      <t xml:space="preserve">客戶規範核對疏漏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標籤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包裝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外箱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</si>
  <si>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極高</t>
  </si>
  <si>
    <r>
      <rPr>
        <sz val="11"/>
        <color rgb="FF1F2A37"/>
        <rFont val="WenQuanYi Zen Hei"/>
        <family val="2"/>
      </rPr>
      <t xml:space="preserve">建立客戶出貨規範表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首批出貨雙人核對簽名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規範變更須書面</t>
    </r>
  </si>
  <si>
    <r>
      <rPr>
        <sz val="11"/>
        <color rgb="FF1F2A37"/>
        <rFont val="WenQuanYi Zen Hei"/>
        <family val="2"/>
      </rPr>
      <t xml:space="preserve">立即停止出貨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評估重工工時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主動通知客戶並提出補救時程</t>
    </r>
  </si>
  <si>
    <r>
      <rPr>
        <sz val="11"/>
        <color rgb="FF1F2A37"/>
        <rFont val="WenQuanYi Zen Hei"/>
        <family val="2"/>
      </rPr>
      <t xml:space="preserve">長前置期物料延誤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拉鍊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五金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</si>
  <si>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提前 </t>
    </r>
    <r>
      <rPr>
        <sz val="11"/>
        <color rgb="FF1F2A37"/>
        <rFont val="Microsoft JhengHei"/>
        <family val="0"/>
        <charset val="1"/>
      </rPr>
      <t xml:space="preserve">30–35 </t>
    </r>
    <r>
      <rPr>
        <sz val="11"/>
        <color rgb="FF1F2A37"/>
        <rFont val="WenQuanYi Zen Hei"/>
        <family val="2"/>
      </rPr>
      <t xml:space="preserve">天下單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每週追交期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關鍵料備第二供應商</t>
    </r>
  </si>
  <si>
    <r>
      <rPr>
        <sz val="11"/>
        <color rgb="FF1F2A37"/>
        <rFont val="WenQuanYi Zen Hei"/>
        <family val="2"/>
      </rPr>
      <t xml:space="preserve">改排其他工序先做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與客戶協商分批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必要時空運補料</t>
    </r>
  </si>
  <si>
    <r>
      <rPr>
        <sz val="11"/>
        <color rgb="FF1F2A37"/>
        <rFont val="WenQuanYi Zen Hei"/>
        <family val="2"/>
      </rPr>
      <t xml:space="preserve">面料色差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不同染缸批號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</si>
  <si>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同批號原則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進料比對標準色卡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裁剪時同批集中</t>
    </r>
  </si>
  <si>
    <r>
      <rPr>
        <sz val="11"/>
        <color rgb="FF1F2A37"/>
        <rFont val="WenQuanYi Zen Hei"/>
        <family val="2"/>
      </rPr>
      <t xml:space="preserve">色差批分開出貨並先取得客戶同意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不可混裝</t>
    </r>
  </si>
  <si>
    <t xml:space="preserve">標準工時失準導致排程崩壞</t>
  </si>
  <si>
    <r>
      <rPr>
        <sz val="11"/>
        <color rgb="FF1F2A37"/>
        <rFont val="WenQuanYi Zen Hei"/>
        <family val="2"/>
      </rPr>
      <t xml:space="preserve">首批必做試產計時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以實測值回頭修正①②③參數</t>
    </r>
  </si>
  <si>
    <t xml:space="preserve">重排人力並即時通知業務調整交期承諾</t>
  </si>
  <si>
    <r>
      <rPr>
        <sz val="11"/>
        <color rgb="FF1F2A37"/>
        <rFont val="WenQuanYi Zen Hei"/>
        <family val="2"/>
      </rPr>
      <t xml:space="preserve">車縫品質不良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跳線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針距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歪斜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</si>
  <si>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首件確認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每 </t>
    </r>
    <r>
      <rPr>
        <sz val="11"/>
        <color rgb="FF1F2A37"/>
        <rFont val="Microsoft JhengHei"/>
        <family val="0"/>
        <charset val="1"/>
      </rPr>
      <t xml:space="preserve">2 </t>
    </r>
    <r>
      <rPr>
        <sz val="11"/>
        <color rgb="FF1F2A37"/>
        <rFont val="WenQuanYi Zen Hei"/>
        <family val="2"/>
      </rPr>
      <t xml:space="preserve">小時巡檢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作業標準書上線</t>
    </r>
  </si>
  <si>
    <r>
      <rPr>
        <sz val="11"/>
        <color rgb="FF1F2A37"/>
        <rFont val="WenQuanYi Zen Hei"/>
        <family val="2"/>
      </rPr>
      <t xml:space="preserve">該時段產品全檢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找出原因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機台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人員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物料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後才復工</t>
    </r>
  </si>
  <si>
    <t xml:space="preserve">產能不足</t>
  </si>
  <si>
    <r>
      <rPr>
        <sz val="11"/>
        <color rgb="FF1F2A37"/>
        <rFont val="WenQuanYi Zen Hei"/>
        <family val="2"/>
      </rPr>
      <t xml:space="preserve">③分頁瓶頸分析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預留 </t>
    </r>
    <r>
      <rPr>
        <sz val="11"/>
        <color rgb="FF1F2A37"/>
        <rFont val="Microsoft JhengHei"/>
        <family val="0"/>
        <charset val="1"/>
      </rPr>
      <t xml:space="preserve">20% </t>
    </r>
    <r>
      <rPr>
        <sz val="11"/>
        <color rgb="FF1F2A37"/>
        <rFont val="WenQuanYi Zen Hei"/>
        <family val="2"/>
      </rPr>
      <t xml:space="preserve">緩衝</t>
    </r>
  </si>
  <si>
    <r>
      <rPr>
        <sz val="11"/>
        <color rgb="FF1F2A37"/>
        <rFont val="WenQuanYi Zen Hei"/>
        <family val="2"/>
      </rPr>
      <t xml:space="preserve">依③的五級處理順序評估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加人→拆工序→加班→分批→外協</t>
    </r>
  </si>
  <si>
    <r>
      <rPr>
        <sz val="11"/>
        <color rgb="FF1F2A37"/>
        <rFont val="WenQuanYi Zen Hei"/>
        <family val="2"/>
      </rPr>
      <t xml:space="preserve">混料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已完成與未完成品混雜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</si>
  <si>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作業區三區實體分隔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待處理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作業中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已完成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完成批立即標示</t>
    </r>
  </si>
  <si>
    <r>
      <rPr>
        <sz val="11"/>
        <color rgb="FF1F2A37"/>
        <rFont val="WenQuanYi Zen Hei"/>
        <family val="2"/>
      </rPr>
      <t xml:space="preserve">全數重新清點與檢查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寧可重檢也不要出錯貨</t>
    </r>
  </si>
  <si>
    <t xml:space="preserve">包裝集中在最後導致延誤</t>
  </si>
  <si>
    <r>
      <rPr>
        <sz val="11"/>
        <color rgb="FF1F2A37"/>
        <rFont val="WenQuanYi Zen Hei"/>
        <family val="2"/>
      </rPr>
      <t xml:space="preserve">邊生產邊包裝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包裝人力提前排入</t>
    </r>
  </si>
  <si>
    <r>
      <rPr>
        <sz val="11"/>
        <color rgb="FF1F2A37"/>
        <rFont val="WenQuanYi Zen Hei"/>
        <family val="2"/>
      </rPr>
      <t xml:space="preserve">調度他組支援包裝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優先包裝先出貨的批次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</si>
</sst>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"/>
    <numFmt numFmtId="167" formatCode="0.00"/>
    <numFmt numFmtId="168" formatCode="0"/>
    <numFmt numFmtId="169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5D99"/>
      <name val="WenQuanYi Zen Hei"/>
      <family val="2"/>
    </font>
    <font>
      <sz val="9"/>
      <color rgb="FF5B6B7C"/>
      <name val="WenQuanYi Zen Hei"/>
      <family val="2"/>
    </font>
    <font>
      <sz val="9"/>
      <color rgb="FF5B6B7C"/>
      <name val="Microsoft JhengHei"/>
      <family val="0"/>
      <charset val="1"/>
    </font>
    <font>
      <b val="true"/>
      <sz val="12"/>
      <color rgb="FF1C5D99"/>
      <name val="WenQuanYi Zen Hei"/>
      <family val="2"/>
    </font>
    <font>
      <b val="true"/>
      <sz val="11"/>
      <color rgb="FFFFFFFF"/>
      <name val="WenQuanYi Zen Hei"/>
      <family val="2"/>
    </font>
    <font>
      <sz val="11"/>
      <color rgb="FF1F2A37"/>
      <name val="WenQuanYi Zen Hei"/>
      <family val="2"/>
    </font>
    <font>
      <sz val="11"/>
      <color rgb="FF1F2A37"/>
      <name val="Microsoft JhengHei"/>
      <family val="0"/>
      <charset val="1"/>
    </font>
    <font>
      <b val="true"/>
      <sz val="12"/>
      <color rgb="FFB3402F"/>
      <name val="WenQuanYi Zen Hei"/>
      <family val="2"/>
    </font>
    <font>
      <b val="true"/>
      <sz val="12"/>
      <color rgb="FFB3402F"/>
      <name val="Microsoft JhengHei"/>
      <family val="0"/>
      <charset val="1"/>
    </font>
    <font>
      <b val="true"/>
      <sz val="11"/>
      <color rgb="FFB3402F"/>
      <name val="Microsoft JhengHei"/>
      <family val="0"/>
      <charset val="1"/>
    </font>
    <font>
      <b val="true"/>
      <sz val="11"/>
      <color rgb="FFFFFFFF"/>
      <name val="Microsoft JhengHei"/>
      <family val="0"/>
      <charset val="1"/>
    </font>
    <font>
      <b val="true"/>
      <sz val="11"/>
      <color rgb="FF1F2A37"/>
      <name val="WenQuanYi Zen Hei"/>
      <family val="2"/>
    </font>
    <font>
      <b val="true"/>
      <sz val="11"/>
      <color rgb="FF1F2A37"/>
      <name val="Microsoft JhengHei"/>
      <family val="0"/>
      <charset val="1"/>
    </font>
    <font>
      <b val="true"/>
      <sz val="11"/>
      <color rgb="FF1C5D99"/>
      <name val="WenQuanYi Zen Hei"/>
      <family val="2"/>
    </font>
    <font>
      <b val="true"/>
      <sz val="11"/>
      <color rgb="FF1C5D99"/>
      <name val="Microsoft JhengHei"/>
      <family val="0"/>
      <charset val="1"/>
    </font>
    <font>
      <b val="true"/>
      <sz val="16"/>
      <color rgb="FF1C5D99"/>
      <name val="Microsoft Jheng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5D99"/>
        <bgColor rgb="FF008080"/>
      </patternFill>
    </fill>
    <fill>
      <patternFill patternType="solid">
        <fgColor rgb="FFFFF2CC"/>
        <bgColor rgb="FFF4F8FB"/>
      </patternFill>
    </fill>
    <fill>
      <patternFill patternType="solid">
        <fgColor rgb="FFF4F8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CC"/>
      </left>
      <right style="thin">
        <color rgb="FFB7C3CC"/>
      </right>
      <top style="thin">
        <color rgb="FFB7C3CC"/>
      </top>
      <bottom style="thin">
        <color rgb="FFB7C3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CC"/>
      <rgbColor rgb="FF808080"/>
      <rgbColor rgb="FF9999FF"/>
      <rgbColor rgb="FF993366"/>
      <rgbColor rgb="FFFFF2CC"/>
      <rgbColor rgb="FFF4F8FB"/>
      <rgbColor rgb="FF660066"/>
      <rgbColor rgb="FFFF8080"/>
      <rgbColor rgb="FF1C5D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C"/>
      <rgbColor rgb="FF969696"/>
      <rgbColor rgb="FF003366"/>
      <rgbColor rgb="FF339966"/>
      <rgbColor rgb="FF003300"/>
      <rgbColor rgb="FF333300"/>
      <rgbColor rgb="FFB3402F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52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3000</v>
      </c>
      <c r="C6" s="7" t="s">
        <v>8</v>
      </c>
      <c r="D6" s="5" t="s">
        <v>9</v>
      </c>
    </row>
    <row r="7" customFormat="false" ht="15" hidden="false" customHeight="false" outlineLevel="0" collapsed="false">
      <c r="A7" s="8" t="s">
        <v>10</v>
      </c>
      <c r="B7" s="6" t="s">
        <v>11</v>
      </c>
      <c r="C7" s="8" t="s">
        <v>12</v>
      </c>
      <c r="D7" s="8" t="s">
        <v>13</v>
      </c>
    </row>
    <row r="8" customFormat="false" ht="15" hidden="false" customHeight="false" outlineLevel="0" collapsed="false">
      <c r="A8" s="5" t="s">
        <v>14</v>
      </c>
      <c r="B8" s="6" t="n">
        <v>20</v>
      </c>
      <c r="C8" s="5" t="s">
        <v>15</v>
      </c>
      <c r="D8" s="5" t="s">
        <v>16</v>
      </c>
    </row>
    <row r="9" customFormat="false" ht="15" hidden="false" customHeight="false" outlineLevel="0" collapsed="false">
      <c r="A9" s="8" t="s">
        <v>17</v>
      </c>
      <c r="B9" s="9" t="s">
        <v>18</v>
      </c>
      <c r="C9" s="8" t="s">
        <v>19</v>
      </c>
      <c r="D9" s="8" t="s">
        <v>20</v>
      </c>
    </row>
    <row r="11" customFormat="false" ht="15" hidden="false" customHeight="false" outlineLevel="0" collapsed="false">
      <c r="A11" s="3" t="s">
        <v>21</v>
      </c>
    </row>
    <row r="12" customFormat="false" ht="15" hidden="false" customHeight="false" outlineLevel="0" collapsed="false">
      <c r="A12" s="4" t="s">
        <v>3</v>
      </c>
      <c r="B12" s="4" t="s">
        <v>4</v>
      </c>
      <c r="C12" s="4" t="s">
        <v>5</v>
      </c>
      <c r="D12" s="4" t="s">
        <v>6</v>
      </c>
    </row>
    <row r="13" customFormat="false" ht="15" hidden="false" customHeight="false" outlineLevel="0" collapsed="false">
      <c r="A13" s="5" t="s">
        <v>22</v>
      </c>
      <c r="B13" s="9" t="n">
        <v>10</v>
      </c>
      <c r="C13" s="5" t="s">
        <v>23</v>
      </c>
      <c r="D13" s="5" t="s">
        <v>24</v>
      </c>
    </row>
    <row r="14" customFormat="false" ht="15" hidden="false" customHeight="false" outlineLevel="0" collapsed="false">
      <c r="A14" s="8" t="s">
        <v>25</v>
      </c>
      <c r="B14" s="9" t="n">
        <f aca="false">B13*60</f>
        <v>600</v>
      </c>
      <c r="C14" s="8" t="s">
        <v>26</v>
      </c>
      <c r="D14" s="8" t="s">
        <v>27</v>
      </c>
    </row>
    <row r="15" customFormat="false" ht="15" hidden="false" customHeight="false" outlineLevel="0" collapsed="false">
      <c r="A15" s="5" t="s">
        <v>28</v>
      </c>
      <c r="B15" s="9" t="n">
        <v>0.85</v>
      </c>
      <c r="C15" s="5" t="s">
        <v>29</v>
      </c>
      <c r="D15" s="5" t="s">
        <v>30</v>
      </c>
    </row>
    <row r="16" customFormat="false" ht="15" hidden="false" customHeight="false" outlineLevel="0" collapsed="false">
      <c r="A16" s="8" t="s">
        <v>31</v>
      </c>
      <c r="B16" s="9" t="n">
        <v>0.97</v>
      </c>
      <c r="C16" s="8" t="s">
        <v>29</v>
      </c>
      <c r="D16" s="8" t="s">
        <v>32</v>
      </c>
    </row>
    <row r="17" customFormat="false" ht="15" hidden="false" customHeight="false" outlineLevel="0" collapsed="false">
      <c r="A17" s="5" t="s">
        <v>33</v>
      </c>
      <c r="B17" s="9" t="n">
        <f aca="false">CEILING(B6/B16,10)</f>
        <v>3100</v>
      </c>
      <c r="C17" s="7" t="s">
        <v>8</v>
      </c>
      <c r="D17" s="5" t="s">
        <v>34</v>
      </c>
    </row>
    <row r="19" customFormat="false" ht="16.4" hidden="false" customHeight="false" outlineLevel="0" collapsed="false">
      <c r="A19" s="10" t="s">
        <v>35</v>
      </c>
    </row>
    <row r="20" customFormat="false" ht="15" hidden="false" customHeight="false" outlineLevel="0" collapsed="false">
      <c r="A20" s="4" t="s">
        <v>3</v>
      </c>
      <c r="B20" s="4" t="s">
        <v>4</v>
      </c>
      <c r="C20" s="4" t="s">
        <v>5</v>
      </c>
      <c r="D20" s="4" t="s">
        <v>6</v>
      </c>
    </row>
    <row r="21" customFormat="false" ht="15" hidden="false" customHeight="false" outlineLevel="0" collapsed="false">
      <c r="A21" s="5" t="s">
        <v>36</v>
      </c>
      <c r="B21" s="11" t="n">
        <f aca="false">CEILING(B17/B8,1)</f>
        <v>155</v>
      </c>
      <c r="C21" s="7" t="s">
        <v>37</v>
      </c>
      <c r="D21" s="5" t="s">
        <v>38</v>
      </c>
    </row>
    <row r="22" customFormat="false" ht="15" hidden="false" customHeight="false" outlineLevel="0" collapsed="false">
      <c r="A22" s="8" t="s">
        <v>39</v>
      </c>
      <c r="B22" s="12" t="n">
        <f aca="false">②工序與工時!D22*B17/60</f>
        <v>2232</v>
      </c>
      <c r="C22" s="8" t="s">
        <v>23</v>
      </c>
      <c r="D22" s="8" t="s">
        <v>40</v>
      </c>
    </row>
    <row r="23" customFormat="false" ht="15" hidden="false" customHeight="false" outlineLevel="0" collapsed="false">
      <c r="A23" s="5" t="s">
        <v>41</v>
      </c>
      <c r="B23" s="11" t="n">
        <f aca="false">CEILING(③產能與人力!D24,1)</f>
        <v>14</v>
      </c>
      <c r="C23" s="5" t="s">
        <v>42</v>
      </c>
      <c r="D23" s="5" t="s">
        <v>43</v>
      </c>
    </row>
    <row r="24" customFormat="false" ht="15" hidden="false" customHeight="false" outlineLevel="0" collapsed="false">
      <c r="A24" s="8" t="s">
        <v>44</v>
      </c>
      <c r="B24" s="12" t="n">
        <f aca="false">ROUND(B14*B15/②工序與工時!D22,1)</f>
        <v>11.8</v>
      </c>
      <c r="C24" s="13" t="s">
        <v>8</v>
      </c>
      <c r="D24" s="8" t="s">
        <v>45</v>
      </c>
    </row>
    <row r="26" customFormat="false" ht="15" hidden="false" customHeight="false" outlineLevel="0" collapsed="false">
      <c r="A26" s="2" t="s">
        <v>46</v>
      </c>
    </row>
    <row r="27" customFormat="false" ht="15" hidden="false" customHeight="false" outlineLevel="0" collapsed="false">
      <c r="A27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15" hidden="false" customHeight="false" outlineLevel="0" collapsed="false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</row>
    <row r="5" customFormat="false" ht="15" hidden="false" customHeight="false" outlineLevel="0" collapsed="false">
      <c r="A5" s="5" t="n">
        <v>1</v>
      </c>
      <c r="B5" s="5" t="s">
        <v>57</v>
      </c>
      <c r="C5" s="5" t="s">
        <v>58</v>
      </c>
      <c r="D5" s="9" t="n">
        <v>1.8</v>
      </c>
      <c r="E5" s="5" t="s">
        <v>59</v>
      </c>
      <c r="F5" s="5" t="s">
        <v>60</v>
      </c>
      <c r="G5" s="5" t="s">
        <v>61</v>
      </c>
    </row>
    <row r="6" customFormat="false" ht="15" hidden="false" customHeight="false" outlineLevel="0" collapsed="false">
      <c r="A6" s="8" t="n">
        <v>2</v>
      </c>
      <c r="B6" s="8" t="s">
        <v>57</v>
      </c>
      <c r="C6" s="8" t="s">
        <v>62</v>
      </c>
      <c r="D6" s="9" t="n">
        <v>1.2</v>
      </c>
      <c r="E6" s="8" t="s">
        <v>59</v>
      </c>
      <c r="F6" s="8" t="s">
        <v>60</v>
      </c>
      <c r="G6" s="8" t="s">
        <v>63</v>
      </c>
    </row>
    <row r="7" customFormat="false" ht="15" hidden="false" customHeight="false" outlineLevel="0" collapsed="false">
      <c r="A7" s="5" t="n">
        <v>3</v>
      </c>
      <c r="B7" s="5" t="s">
        <v>64</v>
      </c>
      <c r="C7" s="5" t="s">
        <v>65</v>
      </c>
      <c r="D7" s="9" t="n">
        <v>1.5</v>
      </c>
      <c r="E7" s="5" t="s">
        <v>66</v>
      </c>
      <c r="F7" s="5" t="s">
        <v>67</v>
      </c>
      <c r="G7" s="5" t="s">
        <v>68</v>
      </c>
    </row>
    <row r="8" customFormat="false" ht="15" hidden="false" customHeight="false" outlineLevel="0" collapsed="false">
      <c r="A8" s="8" t="n">
        <v>4</v>
      </c>
      <c r="B8" s="8" t="s">
        <v>64</v>
      </c>
      <c r="C8" s="8" t="s">
        <v>69</v>
      </c>
      <c r="D8" s="9" t="n">
        <v>2</v>
      </c>
      <c r="E8" s="8" t="s">
        <v>70</v>
      </c>
      <c r="F8" s="8" t="s">
        <v>67</v>
      </c>
      <c r="G8" s="8" t="s">
        <v>71</v>
      </c>
    </row>
    <row r="9" customFormat="false" ht="15" hidden="false" customHeight="false" outlineLevel="0" collapsed="false">
      <c r="A9" s="5" t="n">
        <v>5</v>
      </c>
      <c r="B9" s="5" t="s">
        <v>72</v>
      </c>
      <c r="C9" s="5" t="s">
        <v>73</v>
      </c>
      <c r="D9" s="9" t="n">
        <v>4.5</v>
      </c>
      <c r="E9" s="5" t="s">
        <v>74</v>
      </c>
      <c r="F9" s="5" t="s">
        <v>75</v>
      </c>
      <c r="G9" s="5" t="s">
        <v>76</v>
      </c>
    </row>
    <row r="10" customFormat="false" ht="15" hidden="false" customHeight="false" outlineLevel="0" collapsed="false">
      <c r="A10" s="8" t="n">
        <v>6</v>
      </c>
      <c r="B10" s="8" t="s">
        <v>72</v>
      </c>
      <c r="C10" s="8" t="s">
        <v>77</v>
      </c>
      <c r="D10" s="9" t="n">
        <v>5</v>
      </c>
      <c r="E10" s="8" t="s">
        <v>74</v>
      </c>
      <c r="F10" s="8" t="s">
        <v>75</v>
      </c>
      <c r="G10" s="8"/>
    </row>
    <row r="11" customFormat="false" ht="15" hidden="false" customHeight="false" outlineLevel="0" collapsed="false">
      <c r="A11" s="5" t="n">
        <v>7</v>
      </c>
      <c r="B11" s="5" t="s">
        <v>72</v>
      </c>
      <c r="C11" s="5" t="s">
        <v>78</v>
      </c>
      <c r="D11" s="9" t="n">
        <v>4</v>
      </c>
      <c r="E11" s="5" t="s">
        <v>74</v>
      </c>
      <c r="F11" s="5" t="s">
        <v>79</v>
      </c>
      <c r="G11" s="5" t="s">
        <v>80</v>
      </c>
    </row>
    <row r="12" customFormat="false" ht="15" hidden="false" customHeight="false" outlineLevel="0" collapsed="false">
      <c r="A12" s="8" t="n">
        <v>8</v>
      </c>
      <c r="B12" s="8" t="s">
        <v>72</v>
      </c>
      <c r="C12" s="8" t="s">
        <v>81</v>
      </c>
      <c r="D12" s="9" t="n">
        <v>3.5</v>
      </c>
      <c r="E12" s="8" t="s">
        <v>74</v>
      </c>
      <c r="F12" s="8" t="s">
        <v>79</v>
      </c>
      <c r="G12" s="8"/>
    </row>
    <row r="13" customFormat="false" ht="15" hidden="false" customHeight="false" outlineLevel="0" collapsed="false">
      <c r="A13" s="5" t="n">
        <v>9</v>
      </c>
      <c r="B13" s="5" t="s">
        <v>72</v>
      </c>
      <c r="C13" s="5" t="s">
        <v>82</v>
      </c>
      <c r="D13" s="9" t="n">
        <v>3</v>
      </c>
      <c r="E13" s="5" t="s">
        <v>74</v>
      </c>
      <c r="F13" s="5" t="s">
        <v>79</v>
      </c>
      <c r="G13" s="5" t="s">
        <v>83</v>
      </c>
    </row>
    <row r="14" customFormat="false" ht="15" hidden="false" customHeight="false" outlineLevel="0" collapsed="false">
      <c r="A14" s="8" t="n">
        <v>10</v>
      </c>
      <c r="B14" s="8" t="s">
        <v>84</v>
      </c>
      <c r="C14" s="8" t="s">
        <v>85</v>
      </c>
      <c r="D14" s="9" t="n">
        <v>4</v>
      </c>
      <c r="E14" s="8" t="s">
        <v>86</v>
      </c>
      <c r="F14" s="8" t="s">
        <v>87</v>
      </c>
      <c r="G14" s="8" t="s">
        <v>88</v>
      </c>
    </row>
    <row r="15" customFormat="false" ht="15" hidden="false" customHeight="false" outlineLevel="0" collapsed="false">
      <c r="A15" s="5" t="n">
        <v>11</v>
      </c>
      <c r="B15" s="5" t="s">
        <v>84</v>
      </c>
      <c r="C15" s="5" t="s">
        <v>89</v>
      </c>
      <c r="D15" s="9" t="n">
        <v>3</v>
      </c>
      <c r="E15" s="5" t="s">
        <v>90</v>
      </c>
      <c r="F15" s="5" t="s">
        <v>87</v>
      </c>
      <c r="G15" s="5" t="s">
        <v>91</v>
      </c>
    </row>
    <row r="16" customFormat="false" ht="15" hidden="false" customHeight="false" outlineLevel="0" collapsed="false">
      <c r="A16" s="8" t="n">
        <v>12</v>
      </c>
      <c r="B16" s="8" t="s">
        <v>84</v>
      </c>
      <c r="C16" s="8" t="s">
        <v>92</v>
      </c>
      <c r="D16" s="9" t="n">
        <v>1.5</v>
      </c>
      <c r="E16" s="8" t="s">
        <v>93</v>
      </c>
      <c r="F16" s="8" t="s">
        <v>87</v>
      </c>
      <c r="G16" s="8"/>
    </row>
    <row r="17" customFormat="false" ht="15" hidden="false" customHeight="false" outlineLevel="0" collapsed="false">
      <c r="A17" s="5" t="n">
        <v>13</v>
      </c>
      <c r="B17" s="5" t="s">
        <v>94</v>
      </c>
      <c r="C17" s="5" t="s">
        <v>95</v>
      </c>
      <c r="D17" s="9" t="n">
        <v>2.5</v>
      </c>
      <c r="E17" s="7" t="s">
        <v>96</v>
      </c>
      <c r="F17" s="5" t="s">
        <v>97</v>
      </c>
      <c r="G17" s="5" t="s">
        <v>98</v>
      </c>
    </row>
    <row r="18" customFormat="false" ht="15" hidden="false" customHeight="false" outlineLevel="0" collapsed="false">
      <c r="A18" s="8" t="n">
        <v>14</v>
      </c>
      <c r="B18" s="8" t="s">
        <v>94</v>
      </c>
      <c r="C18" s="8" t="s">
        <v>99</v>
      </c>
      <c r="D18" s="9" t="n">
        <v>1.5</v>
      </c>
      <c r="E18" s="8" t="s">
        <v>93</v>
      </c>
      <c r="F18" s="8" t="s">
        <v>97</v>
      </c>
      <c r="G18" s="8"/>
    </row>
    <row r="19" customFormat="false" ht="15" hidden="false" customHeight="false" outlineLevel="0" collapsed="false">
      <c r="A19" s="5" t="n">
        <v>15</v>
      </c>
      <c r="B19" s="5" t="s">
        <v>100</v>
      </c>
      <c r="C19" s="5" t="s">
        <v>101</v>
      </c>
      <c r="D19" s="9" t="n">
        <v>2</v>
      </c>
      <c r="E19" s="5" t="s">
        <v>102</v>
      </c>
      <c r="F19" s="5" t="s">
        <v>103</v>
      </c>
      <c r="G19" s="5" t="s">
        <v>104</v>
      </c>
    </row>
    <row r="20" customFormat="false" ht="15" hidden="false" customHeight="false" outlineLevel="0" collapsed="false">
      <c r="A20" s="8" t="n">
        <v>16</v>
      </c>
      <c r="B20" s="8" t="s">
        <v>105</v>
      </c>
      <c r="C20" s="8" t="s">
        <v>106</v>
      </c>
      <c r="D20" s="9" t="n">
        <v>1.2</v>
      </c>
      <c r="E20" s="13" t="s">
        <v>96</v>
      </c>
      <c r="F20" s="8" t="s">
        <v>107</v>
      </c>
      <c r="G20" s="8" t="s">
        <v>108</v>
      </c>
    </row>
    <row r="21" customFormat="false" ht="15" hidden="false" customHeight="false" outlineLevel="0" collapsed="false">
      <c r="A21" s="5" t="n">
        <v>17</v>
      </c>
      <c r="B21" s="5" t="s">
        <v>105</v>
      </c>
      <c r="C21" s="5" t="s">
        <v>109</v>
      </c>
      <c r="D21" s="9" t="n">
        <v>1</v>
      </c>
      <c r="E21" s="5" t="s">
        <v>110</v>
      </c>
      <c r="F21" s="5" t="s">
        <v>107</v>
      </c>
      <c r="G21" s="5" t="s">
        <v>111</v>
      </c>
    </row>
    <row r="22" customFormat="false" ht="15" hidden="false" customHeight="false" outlineLevel="0" collapsed="false">
      <c r="C22" s="14" t="s">
        <v>112</v>
      </c>
      <c r="D22" s="15" t="n">
        <f aca="false">SUM(D5:D21)</f>
        <v>43.2</v>
      </c>
      <c r="G22" s="2" t="s">
        <v>113</v>
      </c>
    </row>
    <row r="24" customFormat="false" ht="15" hidden="false" customHeight="false" outlineLevel="0" collapsed="false">
      <c r="A24" s="3" t="s">
        <v>114</v>
      </c>
    </row>
    <row r="25" customFormat="false" ht="15" hidden="false" customHeight="false" outlineLevel="0" collapsed="false">
      <c r="A25" s="4" t="s">
        <v>115</v>
      </c>
      <c r="B25" s="4" t="s">
        <v>116</v>
      </c>
      <c r="C25" s="4" t="s">
        <v>117</v>
      </c>
    </row>
    <row r="26" customFormat="false" ht="41.75" hidden="false" customHeight="false" outlineLevel="0" collapsed="false">
      <c r="A26" s="5" t="s">
        <v>118</v>
      </c>
      <c r="B26" s="5" t="s">
        <v>119</v>
      </c>
      <c r="C26" s="5" t="s">
        <v>120</v>
      </c>
    </row>
    <row r="27" customFormat="false" ht="68.65" hidden="false" customHeight="false" outlineLevel="0" collapsed="false">
      <c r="A27" s="8" t="s">
        <v>18</v>
      </c>
      <c r="B27" s="8" t="s">
        <v>121</v>
      </c>
      <c r="C27" s="8" t="s">
        <v>122</v>
      </c>
    </row>
    <row r="28" customFormat="false" ht="68.65" hidden="false" customHeight="false" outlineLevel="0" collapsed="false">
      <c r="A28" s="5" t="s">
        <v>123</v>
      </c>
      <c r="B28" s="5" t="s">
        <v>124</v>
      </c>
      <c r="C28" s="5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4"/>
  </cols>
  <sheetData>
    <row r="1" customFormat="false" ht="25.5" hidden="false" customHeight="tru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15" hidden="false" customHeight="false" outlineLevel="0" collapsed="false">
      <c r="A4" s="14" t="s">
        <v>128</v>
      </c>
      <c r="C4" s="16" t="n">
        <f aca="false">①訂單參數!B21</f>
        <v>155</v>
      </c>
    </row>
    <row r="5" customFormat="false" ht="15" hidden="false" customHeight="false" outlineLevel="0" collapsed="false">
      <c r="A5" s="14" t="s">
        <v>129</v>
      </c>
      <c r="C5" s="16" t="n">
        <f aca="false">①訂單參數!B14*①訂單參數!B15</f>
        <v>510</v>
      </c>
    </row>
    <row r="6" customFormat="false" ht="15" hidden="false" customHeight="false" outlineLevel="0" collapsed="false">
      <c r="A6" s="4" t="s">
        <v>50</v>
      </c>
      <c r="B6" s="4" t="s">
        <v>52</v>
      </c>
      <c r="C6" s="4" t="s">
        <v>130</v>
      </c>
      <c r="D6" s="4" t="s">
        <v>131</v>
      </c>
      <c r="E6" s="4" t="s">
        <v>132</v>
      </c>
      <c r="F6" s="4" t="s">
        <v>133</v>
      </c>
      <c r="G6" s="4" t="s">
        <v>134</v>
      </c>
    </row>
    <row r="7" customFormat="false" ht="15" hidden="false" customHeight="false" outlineLevel="0" collapsed="false">
      <c r="A7" s="5" t="n">
        <v>1</v>
      </c>
      <c r="B7" s="5" t="s">
        <v>58</v>
      </c>
      <c r="C7" s="17" t="n">
        <f aca="false">②工序與工時!D5</f>
        <v>1.8</v>
      </c>
      <c r="D7" s="18" t="n">
        <f aca="false">ROUND($C$4*C7/$C$5,2)</f>
        <v>0.55</v>
      </c>
      <c r="E7" s="5" t="n">
        <f aca="false">CEILING(D7,1)</f>
        <v>1</v>
      </c>
      <c r="F7" s="5" t="n">
        <f aca="false">IF(E7=0,0,ROUND($C$5*E7/C7,0))</f>
        <v>283</v>
      </c>
      <c r="G7" s="5" t="s">
        <v>61</v>
      </c>
    </row>
    <row r="8" customFormat="false" ht="15" hidden="false" customHeight="false" outlineLevel="0" collapsed="false">
      <c r="A8" s="8" t="n">
        <v>2</v>
      </c>
      <c r="B8" s="8" t="s">
        <v>62</v>
      </c>
      <c r="C8" s="19" t="n">
        <f aca="false">②工序與工時!D6</f>
        <v>1.2</v>
      </c>
      <c r="D8" s="20" t="n">
        <f aca="false">ROUND($C$4*C8/$C$5,2)</f>
        <v>0.36</v>
      </c>
      <c r="E8" s="8" t="n">
        <f aca="false">CEILING(D8,1)</f>
        <v>1</v>
      </c>
      <c r="F8" s="8" t="n">
        <f aca="false">IF(E8=0,0,ROUND($C$5*E8/C8,0))</f>
        <v>425</v>
      </c>
      <c r="G8" s="8" t="s">
        <v>63</v>
      </c>
    </row>
    <row r="9" customFormat="false" ht="15" hidden="false" customHeight="false" outlineLevel="0" collapsed="false">
      <c r="A9" s="5" t="n">
        <v>3</v>
      </c>
      <c r="B9" s="5" t="s">
        <v>65</v>
      </c>
      <c r="C9" s="17" t="n">
        <f aca="false">②工序與工時!D7</f>
        <v>1.5</v>
      </c>
      <c r="D9" s="18" t="n">
        <f aca="false">ROUND($C$4*C9/$C$5,2)</f>
        <v>0.46</v>
      </c>
      <c r="E9" s="5" t="n">
        <f aca="false">CEILING(D9,1)</f>
        <v>1</v>
      </c>
      <c r="F9" s="5" t="n">
        <f aca="false">IF(E9=0,0,ROUND($C$5*E9/C9,0))</f>
        <v>340</v>
      </c>
      <c r="G9" s="5" t="s">
        <v>68</v>
      </c>
    </row>
    <row r="10" customFormat="false" ht="15" hidden="false" customHeight="false" outlineLevel="0" collapsed="false">
      <c r="A10" s="8" t="n">
        <v>4</v>
      </c>
      <c r="B10" s="8" t="s">
        <v>69</v>
      </c>
      <c r="C10" s="19" t="n">
        <f aca="false">②工序與工時!D8</f>
        <v>2</v>
      </c>
      <c r="D10" s="20" t="n">
        <f aca="false">ROUND($C$4*C10/$C$5,2)</f>
        <v>0.61</v>
      </c>
      <c r="E10" s="8" t="n">
        <f aca="false">CEILING(D10,1)</f>
        <v>1</v>
      </c>
      <c r="F10" s="8" t="n">
        <f aca="false">IF(E10=0,0,ROUND($C$5*E10/C10,0))</f>
        <v>255</v>
      </c>
      <c r="G10" s="8" t="s">
        <v>71</v>
      </c>
    </row>
    <row r="11" customFormat="false" ht="15" hidden="false" customHeight="false" outlineLevel="0" collapsed="false">
      <c r="A11" s="5" t="n">
        <v>5</v>
      </c>
      <c r="B11" s="5" t="s">
        <v>73</v>
      </c>
      <c r="C11" s="17" t="n">
        <f aca="false">②工序與工時!D9</f>
        <v>4.5</v>
      </c>
      <c r="D11" s="18" t="n">
        <f aca="false">ROUND($C$4*C11/$C$5,2)</f>
        <v>1.37</v>
      </c>
      <c r="E11" s="5" t="n">
        <f aca="false">CEILING(D11,1)</f>
        <v>2</v>
      </c>
      <c r="F11" s="5" t="n">
        <f aca="false">IF(E11=0,0,ROUND($C$5*E11/C11,0))</f>
        <v>227</v>
      </c>
      <c r="G11" s="5" t="s">
        <v>76</v>
      </c>
    </row>
    <row r="12" customFormat="false" ht="15" hidden="false" customHeight="false" outlineLevel="0" collapsed="false">
      <c r="A12" s="8" t="n">
        <v>6</v>
      </c>
      <c r="B12" s="8" t="s">
        <v>77</v>
      </c>
      <c r="C12" s="19" t="n">
        <f aca="false">②工序與工時!D10</f>
        <v>5</v>
      </c>
      <c r="D12" s="20" t="n">
        <f aca="false">ROUND($C$4*C12/$C$5,2)</f>
        <v>1.52</v>
      </c>
      <c r="E12" s="8" t="n">
        <f aca="false">CEILING(D12,1)</f>
        <v>2</v>
      </c>
      <c r="F12" s="8" t="n">
        <f aca="false">IF(E12=0,0,ROUND($C$5*E12/C12,0))</f>
        <v>204</v>
      </c>
      <c r="G12" s="8"/>
    </row>
    <row r="13" customFormat="false" ht="15" hidden="false" customHeight="false" outlineLevel="0" collapsed="false">
      <c r="A13" s="5" t="n">
        <v>7</v>
      </c>
      <c r="B13" s="5" t="s">
        <v>78</v>
      </c>
      <c r="C13" s="17" t="n">
        <f aca="false">②工序與工時!D11</f>
        <v>4</v>
      </c>
      <c r="D13" s="18" t="n">
        <f aca="false">ROUND($C$4*C13/$C$5,2)</f>
        <v>1.22</v>
      </c>
      <c r="E13" s="5" t="n">
        <f aca="false">CEILING(D13,1)</f>
        <v>2</v>
      </c>
      <c r="F13" s="5" t="n">
        <f aca="false">IF(E13=0,0,ROUND($C$5*E13/C13,0))</f>
        <v>255</v>
      </c>
      <c r="G13" s="5" t="s">
        <v>80</v>
      </c>
    </row>
    <row r="14" customFormat="false" ht="15" hidden="false" customHeight="false" outlineLevel="0" collapsed="false">
      <c r="A14" s="8" t="n">
        <v>8</v>
      </c>
      <c r="B14" s="8" t="s">
        <v>81</v>
      </c>
      <c r="C14" s="19" t="n">
        <f aca="false">②工序與工時!D12</f>
        <v>3.5</v>
      </c>
      <c r="D14" s="20" t="n">
        <f aca="false">ROUND($C$4*C14/$C$5,2)</f>
        <v>1.06</v>
      </c>
      <c r="E14" s="8" t="n">
        <f aca="false">CEILING(D14,1)</f>
        <v>2</v>
      </c>
      <c r="F14" s="8" t="n">
        <f aca="false">IF(E14=0,0,ROUND($C$5*E14/C14,0))</f>
        <v>291</v>
      </c>
      <c r="G14" s="8"/>
    </row>
    <row r="15" customFormat="false" ht="15" hidden="false" customHeight="false" outlineLevel="0" collapsed="false">
      <c r="A15" s="5" t="n">
        <v>9</v>
      </c>
      <c r="B15" s="5" t="s">
        <v>82</v>
      </c>
      <c r="C15" s="17" t="n">
        <f aca="false">②工序與工時!D13</f>
        <v>3</v>
      </c>
      <c r="D15" s="18" t="n">
        <f aca="false">ROUND($C$4*C15/$C$5,2)</f>
        <v>0.91</v>
      </c>
      <c r="E15" s="5" t="n">
        <f aca="false">CEILING(D15,1)</f>
        <v>1</v>
      </c>
      <c r="F15" s="5" t="n">
        <f aca="false">IF(E15=0,0,ROUND($C$5*E15/C15,0))</f>
        <v>170</v>
      </c>
      <c r="G15" s="5" t="s">
        <v>83</v>
      </c>
    </row>
    <row r="16" customFormat="false" ht="15" hidden="false" customHeight="false" outlineLevel="0" collapsed="false">
      <c r="A16" s="8" t="n">
        <v>10</v>
      </c>
      <c r="B16" s="8" t="s">
        <v>85</v>
      </c>
      <c r="C16" s="19" t="n">
        <f aca="false">②工序與工時!D14</f>
        <v>4</v>
      </c>
      <c r="D16" s="20" t="n">
        <f aca="false">ROUND($C$4*C16/$C$5,2)</f>
        <v>1.22</v>
      </c>
      <c r="E16" s="8" t="n">
        <f aca="false">CEILING(D16,1)</f>
        <v>2</v>
      </c>
      <c r="F16" s="8" t="n">
        <f aca="false">IF(E16=0,0,ROUND($C$5*E16/C16,0))</f>
        <v>255</v>
      </c>
      <c r="G16" s="8" t="s">
        <v>88</v>
      </c>
    </row>
    <row r="17" customFormat="false" ht="15" hidden="false" customHeight="false" outlineLevel="0" collapsed="false">
      <c r="A17" s="5" t="n">
        <v>11</v>
      </c>
      <c r="B17" s="5" t="s">
        <v>89</v>
      </c>
      <c r="C17" s="17" t="n">
        <f aca="false">②工序與工時!D15</f>
        <v>3</v>
      </c>
      <c r="D17" s="18" t="n">
        <f aca="false">ROUND($C$4*C17/$C$5,2)</f>
        <v>0.91</v>
      </c>
      <c r="E17" s="5" t="n">
        <f aca="false">CEILING(D17,1)</f>
        <v>1</v>
      </c>
      <c r="F17" s="5" t="n">
        <f aca="false">IF(E17=0,0,ROUND($C$5*E17/C17,0))</f>
        <v>170</v>
      </c>
      <c r="G17" s="5" t="s">
        <v>91</v>
      </c>
    </row>
    <row r="18" customFormat="false" ht="15" hidden="false" customHeight="false" outlineLevel="0" collapsed="false">
      <c r="A18" s="8" t="n">
        <v>12</v>
      </c>
      <c r="B18" s="8" t="s">
        <v>92</v>
      </c>
      <c r="C18" s="19" t="n">
        <f aca="false">②工序與工時!D16</f>
        <v>1.5</v>
      </c>
      <c r="D18" s="20" t="n">
        <f aca="false">ROUND($C$4*C18/$C$5,2)</f>
        <v>0.46</v>
      </c>
      <c r="E18" s="8" t="n">
        <f aca="false">CEILING(D18,1)</f>
        <v>1</v>
      </c>
      <c r="F18" s="8" t="n">
        <f aca="false">IF(E18=0,0,ROUND($C$5*E18/C18,0))</f>
        <v>340</v>
      </c>
      <c r="G18" s="8"/>
    </row>
    <row r="19" customFormat="false" ht="15" hidden="false" customHeight="false" outlineLevel="0" collapsed="false">
      <c r="A19" s="5" t="n">
        <v>13</v>
      </c>
      <c r="B19" s="5" t="s">
        <v>95</v>
      </c>
      <c r="C19" s="17" t="n">
        <f aca="false">②工序與工時!D17</f>
        <v>2.5</v>
      </c>
      <c r="D19" s="18" t="n">
        <f aca="false">ROUND($C$4*C19/$C$5,2)</f>
        <v>0.76</v>
      </c>
      <c r="E19" s="5" t="n">
        <f aca="false">CEILING(D19,1)</f>
        <v>1</v>
      </c>
      <c r="F19" s="5" t="n">
        <f aca="false">IF(E19=0,0,ROUND($C$5*E19/C19,0))</f>
        <v>204</v>
      </c>
      <c r="G19" s="5" t="s">
        <v>98</v>
      </c>
    </row>
    <row r="20" customFormat="false" ht="15" hidden="false" customHeight="false" outlineLevel="0" collapsed="false">
      <c r="A20" s="8" t="n">
        <v>14</v>
      </c>
      <c r="B20" s="8" t="s">
        <v>99</v>
      </c>
      <c r="C20" s="19" t="n">
        <f aca="false">②工序與工時!D18</f>
        <v>1.5</v>
      </c>
      <c r="D20" s="20" t="n">
        <f aca="false">ROUND($C$4*C20/$C$5,2)</f>
        <v>0.46</v>
      </c>
      <c r="E20" s="8" t="n">
        <f aca="false">CEILING(D20,1)</f>
        <v>1</v>
      </c>
      <c r="F20" s="8" t="n">
        <f aca="false">IF(E20=0,0,ROUND($C$5*E20/C20,0))</f>
        <v>340</v>
      </c>
      <c r="G20" s="8"/>
    </row>
    <row r="21" customFormat="false" ht="15" hidden="false" customHeight="false" outlineLevel="0" collapsed="false">
      <c r="A21" s="5" t="n">
        <v>15</v>
      </c>
      <c r="B21" s="5" t="s">
        <v>101</v>
      </c>
      <c r="C21" s="17" t="n">
        <f aca="false">②工序與工時!D19</f>
        <v>2</v>
      </c>
      <c r="D21" s="18" t="n">
        <f aca="false">ROUND($C$4*C21/$C$5,2)</f>
        <v>0.61</v>
      </c>
      <c r="E21" s="5" t="n">
        <f aca="false">CEILING(D21,1)</f>
        <v>1</v>
      </c>
      <c r="F21" s="5" t="n">
        <f aca="false">IF(E21=0,0,ROUND($C$5*E21/C21,0))</f>
        <v>255</v>
      </c>
      <c r="G21" s="5" t="s">
        <v>104</v>
      </c>
    </row>
    <row r="22" customFormat="false" ht="15" hidden="false" customHeight="false" outlineLevel="0" collapsed="false">
      <c r="A22" s="8" t="n">
        <v>16</v>
      </c>
      <c r="B22" s="8" t="s">
        <v>106</v>
      </c>
      <c r="C22" s="19" t="n">
        <f aca="false">②工序與工時!D20</f>
        <v>1.2</v>
      </c>
      <c r="D22" s="20" t="n">
        <f aca="false">ROUND($C$4*C22/$C$5,2)</f>
        <v>0.36</v>
      </c>
      <c r="E22" s="8" t="n">
        <f aca="false">CEILING(D22,1)</f>
        <v>1</v>
      </c>
      <c r="F22" s="8" t="n">
        <f aca="false">IF(E22=0,0,ROUND($C$5*E22/C22,0))</f>
        <v>425</v>
      </c>
      <c r="G22" s="8" t="s">
        <v>108</v>
      </c>
    </row>
    <row r="23" customFormat="false" ht="15" hidden="false" customHeight="false" outlineLevel="0" collapsed="false">
      <c r="A23" s="5" t="n">
        <v>17</v>
      </c>
      <c r="B23" s="5" t="s">
        <v>109</v>
      </c>
      <c r="C23" s="17" t="n">
        <f aca="false">②工序與工時!D21</f>
        <v>1</v>
      </c>
      <c r="D23" s="18" t="n">
        <f aca="false">ROUND($C$4*C23/$C$5,2)</f>
        <v>0.3</v>
      </c>
      <c r="E23" s="5" t="n">
        <f aca="false">CEILING(D23,1)</f>
        <v>1</v>
      </c>
      <c r="F23" s="5" t="n">
        <f aca="false">IF(E23=0,0,ROUND($C$5*E23/C23,0))</f>
        <v>510</v>
      </c>
      <c r="G23" s="5" t="s">
        <v>111</v>
      </c>
    </row>
    <row r="24" customFormat="false" ht="15" hidden="false" customHeight="false" outlineLevel="0" collapsed="false">
      <c r="B24" s="14" t="s">
        <v>135</v>
      </c>
      <c r="C24" s="15" t="n">
        <f aca="false">SUM(C7:C23)</f>
        <v>43.2</v>
      </c>
      <c r="D24" s="21" t="n">
        <f aca="false">SUM(D7:D23)</f>
        <v>13.14</v>
      </c>
      <c r="E24" s="22" t="n">
        <f aca="false">SUM(E7:E23)</f>
        <v>22</v>
      </c>
      <c r="G24" s="2" t="s">
        <v>136</v>
      </c>
    </row>
    <row r="26" customFormat="false" ht="15" hidden="false" customHeight="false" outlineLevel="0" collapsed="false">
      <c r="A26" s="10" t="s">
        <v>137</v>
      </c>
    </row>
    <row r="27" customFormat="false" ht="15" hidden="false" customHeight="false" outlineLevel="0" collapsed="false">
      <c r="A27" s="4" t="s">
        <v>3</v>
      </c>
      <c r="B27" s="4" t="s">
        <v>4</v>
      </c>
      <c r="C27" s="4" t="s">
        <v>6</v>
      </c>
    </row>
    <row r="28" customFormat="false" ht="55.2" hidden="false" customHeight="false" outlineLevel="0" collapsed="false">
      <c r="A28" s="5" t="s">
        <v>138</v>
      </c>
      <c r="B28" s="5" t="n">
        <f aca="false">MIN(F7:F23)</f>
        <v>170</v>
      </c>
      <c r="C28" s="5" t="s">
        <v>139</v>
      </c>
    </row>
    <row r="29" customFormat="false" ht="28.35" hidden="false" customHeight="false" outlineLevel="0" collapsed="false">
      <c r="A29" s="8" t="s">
        <v>140</v>
      </c>
      <c r="B29" s="8" t="n">
        <f aca="false">C4</f>
        <v>155</v>
      </c>
      <c r="C29" s="8" t="s">
        <v>141</v>
      </c>
    </row>
    <row r="30" customFormat="false" ht="28.35" hidden="false" customHeight="false" outlineLevel="0" collapsed="false">
      <c r="A30" s="5" t="s">
        <v>142</v>
      </c>
      <c r="B30" s="5" t="str">
        <f aca="false">IF(MIN(F7:F23)&gt;=C4,"足夠","不足,需加人或加班")</f>
        <v>足夠</v>
      </c>
      <c r="C30" s="5" t="s">
        <v>143</v>
      </c>
    </row>
    <row r="31" customFormat="false" ht="28.35" hidden="false" customHeight="false" outlineLevel="0" collapsed="false">
      <c r="A31" s="8" t="s">
        <v>144</v>
      </c>
      <c r="B31" s="8" t="n">
        <f aca="false">CEILING(①訂單參數!B17/MIN(F7:F23),1)</f>
        <v>19</v>
      </c>
      <c r="C31" s="8" t="s">
        <v>145</v>
      </c>
    </row>
    <row r="32" customFormat="false" ht="41.75" hidden="false" customHeight="false" outlineLevel="0" collapsed="false">
      <c r="A32" s="5" t="s">
        <v>146</v>
      </c>
      <c r="B32" s="5" t="n">
        <f aca="false">①訂單參數!B8</f>
        <v>20</v>
      </c>
      <c r="C32" s="5" t="s">
        <v>147</v>
      </c>
    </row>
    <row r="33" customFormat="false" ht="15" hidden="false" customHeight="false" outlineLevel="0" collapsed="false">
      <c r="A33" s="23" t="s">
        <v>148</v>
      </c>
    </row>
    <row r="34" customFormat="false" ht="15" hidden="false" customHeight="false" outlineLevel="0" collapsed="false">
      <c r="A34" s="4" t="s">
        <v>149</v>
      </c>
      <c r="B34" s="4" t="s">
        <v>150</v>
      </c>
      <c r="C34" s="4" t="s">
        <v>151</v>
      </c>
    </row>
    <row r="35" customFormat="false" ht="28.35" hidden="false" customHeight="false" outlineLevel="0" collapsed="false">
      <c r="A35" s="7" t="s">
        <v>152</v>
      </c>
      <c r="B35" s="5" t="s">
        <v>153</v>
      </c>
      <c r="C35" s="5" t="s">
        <v>154</v>
      </c>
    </row>
    <row r="36" customFormat="false" ht="28.35" hidden="false" customHeight="false" outlineLevel="0" collapsed="false">
      <c r="A36" s="13" t="s">
        <v>155</v>
      </c>
      <c r="B36" s="8" t="s">
        <v>156</v>
      </c>
      <c r="C36" s="8" t="s">
        <v>157</v>
      </c>
    </row>
    <row r="37" customFormat="false" ht="41.75" hidden="false" customHeight="false" outlineLevel="0" collapsed="false">
      <c r="A37" s="7" t="s">
        <v>158</v>
      </c>
      <c r="B37" s="5" t="s">
        <v>159</v>
      </c>
      <c r="C37" s="5" t="s">
        <v>160</v>
      </c>
    </row>
    <row r="38" customFormat="false" ht="28.35" hidden="false" customHeight="false" outlineLevel="0" collapsed="false">
      <c r="A38" s="13" t="s">
        <v>161</v>
      </c>
      <c r="B38" s="8" t="s">
        <v>162</v>
      </c>
      <c r="C38" s="8" t="s">
        <v>163</v>
      </c>
    </row>
    <row r="39" customFormat="false" ht="28.35" hidden="false" customHeight="false" outlineLevel="0" collapsed="false">
      <c r="A39" s="7" t="s">
        <v>164</v>
      </c>
      <c r="B39" s="5" t="s">
        <v>165</v>
      </c>
      <c r="C39" s="5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6"/>
  </cols>
  <sheetData>
    <row r="1" customFormat="false" ht="25.5" hidden="false" customHeight="tru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</row>
    <row r="4" customFormat="false" ht="15" hidden="false" customHeight="false" outlineLevel="0" collapsed="false">
      <c r="A4" s="4" t="s">
        <v>50</v>
      </c>
      <c r="B4" s="4" t="s">
        <v>169</v>
      </c>
      <c r="C4" s="4" t="s">
        <v>170</v>
      </c>
      <c r="D4" s="4" t="s">
        <v>5</v>
      </c>
      <c r="E4" s="4" t="s">
        <v>171</v>
      </c>
      <c r="F4" s="4" t="s">
        <v>172</v>
      </c>
      <c r="G4" s="4" t="s">
        <v>173</v>
      </c>
      <c r="H4" s="4" t="s">
        <v>174</v>
      </c>
      <c r="I4" s="4" t="s">
        <v>134</v>
      </c>
    </row>
    <row r="5" customFormat="false" ht="28.35" hidden="false" customHeight="false" outlineLevel="0" collapsed="false">
      <c r="A5" s="5" t="n">
        <v>1</v>
      </c>
      <c r="B5" s="5" t="s">
        <v>175</v>
      </c>
      <c r="C5" s="7" t="s">
        <v>176</v>
      </c>
      <c r="D5" s="5" t="s">
        <v>177</v>
      </c>
      <c r="E5" s="9" t="n">
        <v>0.85</v>
      </c>
      <c r="F5" s="24" t="n">
        <v>0.08</v>
      </c>
      <c r="G5" s="25" t="n">
        <f aca="false">ROUND(①訂單參數!$B$17*E5*(1+F5),0)</f>
        <v>2846</v>
      </c>
      <c r="H5" s="9" t="n">
        <v>25</v>
      </c>
      <c r="I5" s="5" t="s">
        <v>178</v>
      </c>
    </row>
    <row r="6" customFormat="false" ht="15" hidden="false" customHeight="false" outlineLevel="0" collapsed="false">
      <c r="A6" s="8" t="n">
        <v>2</v>
      </c>
      <c r="B6" s="8" t="s">
        <v>179</v>
      </c>
      <c r="C6" s="13" t="s">
        <v>180</v>
      </c>
      <c r="D6" s="8" t="s">
        <v>177</v>
      </c>
      <c r="E6" s="9" t="n">
        <v>0.6</v>
      </c>
      <c r="F6" s="24" t="n">
        <v>0.06</v>
      </c>
      <c r="G6" s="26" t="n">
        <f aca="false">ROUND(①訂單參數!$B$17*E6*(1+F6),0)</f>
        <v>1972</v>
      </c>
      <c r="H6" s="9" t="n">
        <v>20</v>
      </c>
      <c r="I6" s="8"/>
    </row>
    <row r="7" customFormat="false" ht="15" hidden="false" customHeight="false" outlineLevel="0" collapsed="false">
      <c r="A7" s="5" t="n">
        <v>3</v>
      </c>
      <c r="B7" s="5" t="s">
        <v>181</v>
      </c>
      <c r="C7" s="7" t="s">
        <v>182</v>
      </c>
      <c r="D7" s="5" t="s">
        <v>183</v>
      </c>
      <c r="E7" s="9" t="n">
        <v>1</v>
      </c>
      <c r="F7" s="24" t="n">
        <v>0.05</v>
      </c>
      <c r="G7" s="25" t="n">
        <f aca="false">ROUND(①訂單參數!$B$17*E7*(1+F7),0)</f>
        <v>3255</v>
      </c>
      <c r="H7" s="9" t="n">
        <v>20</v>
      </c>
      <c r="I7" s="5" t="s">
        <v>184</v>
      </c>
    </row>
    <row r="8" customFormat="false" ht="15" hidden="false" customHeight="false" outlineLevel="0" collapsed="false">
      <c r="A8" s="8" t="n">
        <v>4</v>
      </c>
      <c r="B8" s="8" t="s">
        <v>185</v>
      </c>
      <c r="C8" s="8" t="s">
        <v>186</v>
      </c>
      <c r="D8" s="8" t="s">
        <v>177</v>
      </c>
      <c r="E8" s="9" t="n">
        <v>0.35</v>
      </c>
      <c r="F8" s="24" t="n">
        <v>0.05</v>
      </c>
      <c r="G8" s="26" t="n">
        <f aca="false">ROUND(①訂單參數!$B$17*E8*(1+F8),0)</f>
        <v>1139</v>
      </c>
      <c r="H8" s="9" t="n">
        <v>15</v>
      </c>
      <c r="I8" s="8"/>
    </row>
    <row r="9" customFormat="false" ht="15" hidden="false" customHeight="false" outlineLevel="0" collapsed="false">
      <c r="A9" s="5" t="n">
        <v>5</v>
      </c>
      <c r="B9" s="5" t="s">
        <v>187</v>
      </c>
      <c r="C9" s="7" t="s">
        <v>188</v>
      </c>
      <c r="D9" s="5" t="s">
        <v>189</v>
      </c>
      <c r="E9" s="9" t="n">
        <v>1</v>
      </c>
      <c r="F9" s="24" t="n">
        <v>0.03</v>
      </c>
      <c r="G9" s="25" t="n">
        <f aca="false">ROUND(①訂單參數!$B$17*E9*(1+F9),0)</f>
        <v>3193</v>
      </c>
      <c r="H9" s="9" t="n">
        <v>30</v>
      </c>
      <c r="I9" s="5" t="s">
        <v>190</v>
      </c>
    </row>
    <row r="10" customFormat="false" ht="15" hidden="false" customHeight="false" outlineLevel="0" collapsed="false">
      <c r="A10" s="8" t="n">
        <v>6</v>
      </c>
      <c r="B10" s="8" t="s">
        <v>191</v>
      </c>
      <c r="C10" s="13" t="s">
        <v>192</v>
      </c>
      <c r="D10" s="8" t="s">
        <v>189</v>
      </c>
      <c r="E10" s="9" t="n">
        <v>2</v>
      </c>
      <c r="F10" s="24" t="n">
        <v>0.03</v>
      </c>
      <c r="G10" s="26" t="n">
        <f aca="false">ROUND(①訂單參數!$B$17*E10*(1+F10),0)</f>
        <v>6386</v>
      </c>
      <c r="H10" s="9" t="n">
        <v>30</v>
      </c>
      <c r="I10" s="8" t="s">
        <v>190</v>
      </c>
    </row>
    <row r="11" customFormat="false" ht="15" hidden="false" customHeight="false" outlineLevel="0" collapsed="false">
      <c r="A11" s="5" t="n">
        <v>7</v>
      </c>
      <c r="B11" s="5" t="s">
        <v>193</v>
      </c>
      <c r="C11" s="7" t="s">
        <v>194</v>
      </c>
      <c r="D11" s="5" t="s">
        <v>177</v>
      </c>
      <c r="E11" s="9" t="n">
        <v>1.6</v>
      </c>
      <c r="F11" s="24" t="n">
        <v>0.05</v>
      </c>
      <c r="G11" s="25" t="n">
        <f aca="false">ROUND(①訂單參數!$B$17*E11*(1+F11),0)</f>
        <v>5208</v>
      </c>
      <c r="H11" s="9" t="n">
        <v>20</v>
      </c>
      <c r="I11" s="5"/>
    </row>
    <row r="12" customFormat="false" ht="15" hidden="false" customHeight="false" outlineLevel="0" collapsed="false">
      <c r="A12" s="8" t="n">
        <v>8</v>
      </c>
      <c r="B12" s="8" t="s">
        <v>195</v>
      </c>
      <c r="C12" s="8" t="s">
        <v>196</v>
      </c>
      <c r="D12" s="8" t="s">
        <v>197</v>
      </c>
      <c r="E12" s="9" t="n">
        <v>1</v>
      </c>
      <c r="F12" s="24" t="n">
        <v>0.03</v>
      </c>
      <c r="G12" s="26" t="n">
        <f aca="false">ROUND(①訂單參數!$B$17*E12*(1+F12),0)</f>
        <v>3193</v>
      </c>
      <c r="H12" s="9" t="n">
        <v>30</v>
      </c>
      <c r="I12" s="8" t="s">
        <v>198</v>
      </c>
    </row>
    <row r="13" customFormat="false" ht="15" hidden="false" customHeight="false" outlineLevel="0" collapsed="false">
      <c r="A13" s="5" t="n">
        <v>9</v>
      </c>
      <c r="B13" s="5" t="s">
        <v>199</v>
      </c>
      <c r="C13" s="7" t="s">
        <v>200</v>
      </c>
      <c r="D13" s="5" t="s">
        <v>177</v>
      </c>
      <c r="E13" s="9" t="n">
        <v>0.3</v>
      </c>
      <c r="F13" s="24" t="n">
        <v>0.05</v>
      </c>
      <c r="G13" s="25" t="n">
        <f aca="false">ROUND(①訂單參數!$B$17*E13*(1+F13),0)</f>
        <v>977</v>
      </c>
      <c r="H13" s="9" t="n">
        <v>15</v>
      </c>
      <c r="I13" s="5"/>
    </row>
    <row r="14" customFormat="false" ht="15" hidden="false" customHeight="false" outlineLevel="0" collapsed="false">
      <c r="A14" s="8" t="n">
        <v>10</v>
      </c>
      <c r="B14" s="8" t="s">
        <v>201</v>
      </c>
      <c r="C14" s="13" t="s">
        <v>202</v>
      </c>
      <c r="D14" s="8" t="s">
        <v>177</v>
      </c>
      <c r="E14" s="9" t="n">
        <v>45</v>
      </c>
      <c r="F14" s="24" t="n">
        <v>0.1</v>
      </c>
      <c r="G14" s="26" t="n">
        <f aca="false">ROUND(①訂單參數!$B$17*E14*(1+F14),0)</f>
        <v>153450</v>
      </c>
      <c r="H14" s="9" t="n">
        <v>10</v>
      </c>
      <c r="I14" s="8" t="s">
        <v>203</v>
      </c>
    </row>
    <row r="15" customFormat="false" ht="15" hidden="false" customHeight="false" outlineLevel="0" collapsed="false">
      <c r="A15" s="5" t="n">
        <v>11</v>
      </c>
      <c r="B15" s="5" t="s">
        <v>204</v>
      </c>
      <c r="C15" s="5" t="s">
        <v>205</v>
      </c>
      <c r="D15" s="5" t="s">
        <v>197</v>
      </c>
      <c r="E15" s="9" t="n">
        <v>1</v>
      </c>
      <c r="F15" s="24" t="n">
        <v>0.03</v>
      </c>
      <c r="G15" s="25" t="n">
        <f aca="false">ROUND(①訂單參數!$B$17*E15*(1+F15),0)</f>
        <v>3193</v>
      </c>
      <c r="H15" s="9" t="n">
        <v>15</v>
      </c>
      <c r="I15" s="5" t="s">
        <v>206</v>
      </c>
    </row>
    <row r="16" customFormat="false" ht="15" hidden="false" customHeight="false" outlineLevel="0" collapsed="false">
      <c r="A16" s="8" t="n">
        <v>12</v>
      </c>
      <c r="B16" s="8" t="s">
        <v>207</v>
      </c>
      <c r="C16" s="8" t="s">
        <v>208</v>
      </c>
      <c r="D16" s="8" t="s">
        <v>197</v>
      </c>
      <c r="E16" s="9" t="n">
        <v>1</v>
      </c>
      <c r="F16" s="24" t="n">
        <v>0.03</v>
      </c>
      <c r="G16" s="26" t="n">
        <f aca="false">ROUND(①訂單參數!$B$17*E16*(1+F16),0)</f>
        <v>3193</v>
      </c>
      <c r="H16" s="9" t="n">
        <v>12</v>
      </c>
      <c r="I16" s="8" t="s">
        <v>209</v>
      </c>
    </row>
    <row r="17" customFormat="false" ht="28.35" hidden="false" customHeight="false" outlineLevel="0" collapsed="false">
      <c r="A17" s="5" t="n">
        <v>13</v>
      </c>
      <c r="B17" s="5" t="s">
        <v>210</v>
      </c>
      <c r="C17" s="5" t="s">
        <v>211</v>
      </c>
      <c r="D17" s="5" t="s">
        <v>212</v>
      </c>
      <c r="E17" s="9" t="n">
        <v>1</v>
      </c>
      <c r="F17" s="24" t="n">
        <v>0.05</v>
      </c>
      <c r="G17" s="25" t="n">
        <f aca="false">ROUND(①訂單參數!$B$17*E17*(1+F17),0)</f>
        <v>3255</v>
      </c>
      <c r="H17" s="9" t="n">
        <v>12</v>
      </c>
      <c r="I17" s="5" t="s">
        <v>213</v>
      </c>
    </row>
    <row r="18" customFormat="false" ht="15" hidden="false" customHeight="false" outlineLevel="0" collapsed="false">
      <c r="A18" s="8" t="n">
        <v>14</v>
      </c>
      <c r="B18" s="13" t="s">
        <v>214</v>
      </c>
      <c r="C18" s="13" t="s">
        <v>215</v>
      </c>
      <c r="D18" s="8" t="s">
        <v>216</v>
      </c>
      <c r="E18" s="9" t="n">
        <v>1</v>
      </c>
      <c r="F18" s="24" t="n">
        <v>0.03</v>
      </c>
      <c r="G18" s="26" t="n">
        <f aca="false">ROUND(①訂單參數!$B$17*E18*(1+F18),0)</f>
        <v>3193</v>
      </c>
      <c r="H18" s="9" t="n">
        <v>10</v>
      </c>
      <c r="I18" s="8" t="s">
        <v>217</v>
      </c>
    </row>
    <row r="19" customFormat="false" ht="15" hidden="false" customHeight="false" outlineLevel="0" collapsed="false">
      <c r="A19" s="5" t="n">
        <v>15</v>
      </c>
      <c r="B19" s="5" t="s">
        <v>218</v>
      </c>
      <c r="C19" s="5" t="s">
        <v>219</v>
      </c>
      <c r="D19" s="5" t="s">
        <v>216</v>
      </c>
      <c r="E19" s="9" t="n">
        <v>0.05</v>
      </c>
      <c r="F19" s="24" t="n">
        <v>0.03</v>
      </c>
      <c r="G19" s="25" t="n">
        <f aca="false">ROUND(①訂單參數!$B$17*E19*(1+F19),0)</f>
        <v>160</v>
      </c>
      <c r="H19" s="9" t="n">
        <v>12</v>
      </c>
      <c r="I19" s="5" t="s">
        <v>220</v>
      </c>
    </row>
    <row r="21" customFormat="false" ht="15" hidden="false" customHeight="false" outlineLevel="0" collapsed="false">
      <c r="A21" s="3" t="s">
        <v>221</v>
      </c>
    </row>
    <row r="22" customFormat="false" ht="15" hidden="false" customHeight="false" outlineLevel="0" collapsed="false">
      <c r="A22" s="4" t="s">
        <v>3</v>
      </c>
      <c r="B22" s="4" t="s">
        <v>6</v>
      </c>
    </row>
    <row r="23" customFormat="false" ht="68.65" hidden="false" customHeight="false" outlineLevel="0" collapsed="false">
      <c r="A23" s="5" t="s">
        <v>222</v>
      </c>
      <c r="B23" s="5" t="s">
        <v>223</v>
      </c>
    </row>
    <row r="24" customFormat="false" ht="55.2" hidden="false" customHeight="false" outlineLevel="0" collapsed="false">
      <c r="A24" s="8" t="s">
        <v>224</v>
      </c>
      <c r="B24" s="8" t="s">
        <v>225</v>
      </c>
    </row>
    <row r="25" customFormat="false" ht="41.75" hidden="false" customHeight="false" outlineLevel="0" collapsed="false">
      <c r="A25" s="5" t="s">
        <v>226</v>
      </c>
      <c r="B25" s="5" t="s">
        <v>227</v>
      </c>
    </row>
    <row r="26" customFormat="false" ht="28.35" hidden="false" customHeight="false" outlineLevel="0" collapsed="false">
      <c r="A26" s="8" t="s">
        <v>228</v>
      </c>
      <c r="B26" s="8" t="s">
        <v>229</v>
      </c>
    </row>
    <row r="27" customFormat="false" ht="55.2" hidden="false" customHeight="false" outlineLevel="0" collapsed="false">
      <c r="A27" s="5" t="s">
        <v>230</v>
      </c>
      <c r="B27" s="5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5" min="4" style="0" width="16"/>
    <col collapsed="false" customWidth="true" hidden="false" outlineLevel="0" max="6" min="6" style="0" width="30"/>
  </cols>
  <sheetData>
    <row r="1" customFormat="false" ht="25.5" hidden="false" customHeight="true" outlineLevel="0" collapsed="false">
      <c r="A1" s="1" t="s">
        <v>232</v>
      </c>
    </row>
    <row r="2" customFormat="false" ht="15" hidden="false" customHeight="false" outlineLevel="0" collapsed="false">
      <c r="A2" s="2" t="s">
        <v>233</v>
      </c>
    </row>
    <row r="4" customFormat="false" ht="15" hidden="false" customHeight="false" outlineLevel="0" collapsed="false">
      <c r="A4" s="4" t="s">
        <v>51</v>
      </c>
      <c r="B4" s="4" t="s">
        <v>234</v>
      </c>
      <c r="C4" s="4" t="s">
        <v>235</v>
      </c>
      <c r="D4" s="4" t="s">
        <v>236</v>
      </c>
      <c r="E4" s="4" t="s">
        <v>237</v>
      </c>
      <c r="F4" s="4" t="s">
        <v>238</v>
      </c>
    </row>
    <row r="5" customFormat="false" ht="55.2" hidden="false" customHeight="false" outlineLevel="0" collapsed="false">
      <c r="A5" s="7" t="s">
        <v>239</v>
      </c>
      <c r="B5" s="5" t="s">
        <v>240</v>
      </c>
      <c r="C5" s="5" t="s">
        <v>241</v>
      </c>
      <c r="D5" s="5" t="s">
        <v>242</v>
      </c>
      <c r="E5" s="5" t="s">
        <v>243</v>
      </c>
      <c r="F5" s="5" t="s">
        <v>244</v>
      </c>
    </row>
    <row r="6" customFormat="false" ht="28.35" hidden="false" customHeight="false" outlineLevel="0" collapsed="false">
      <c r="A6" s="13" t="s">
        <v>245</v>
      </c>
      <c r="B6" s="8" t="s">
        <v>246</v>
      </c>
      <c r="C6" s="8" t="s">
        <v>247</v>
      </c>
      <c r="D6" s="8" t="s">
        <v>248</v>
      </c>
      <c r="E6" s="8" t="s">
        <v>249</v>
      </c>
      <c r="F6" s="8" t="s">
        <v>250</v>
      </c>
    </row>
    <row r="7" customFormat="false" ht="41.75" hidden="false" customHeight="false" outlineLevel="0" collapsed="false">
      <c r="A7" s="7" t="s">
        <v>245</v>
      </c>
      <c r="B7" s="5" t="s">
        <v>251</v>
      </c>
      <c r="C7" s="5" t="s">
        <v>252</v>
      </c>
      <c r="D7" s="5" t="s">
        <v>253</v>
      </c>
      <c r="E7" s="5" t="s">
        <v>254</v>
      </c>
      <c r="F7" s="5" t="s">
        <v>255</v>
      </c>
    </row>
    <row r="8" customFormat="false" ht="55.2" hidden="false" customHeight="false" outlineLevel="0" collapsed="false">
      <c r="A8" s="13" t="s">
        <v>256</v>
      </c>
      <c r="B8" s="8" t="s">
        <v>257</v>
      </c>
      <c r="C8" s="8" t="s">
        <v>258</v>
      </c>
      <c r="D8" s="8" t="s">
        <v>259</v>
      </c>
      <c r="E8" s="8" t="s">
        <v>260</v>
      </c>
      <c r="F8" s="8" t="s">
        <v>261</v>
      </c>
    </row>
    <row r="9" customFormat="false" ht="55.2" hidden="false" customHeight="false" outlineLevel="0" collapsed="false">
      <c r="A9" s="7" t="s">
        <v>256</v>
      </c>
      <c r="B9" s="5" t="s">
        <v>262</v>
      </c>
      <c r="C9" s="5" t="s">
        <v>263</v>
      </c>
      <c r="D9" s="5" t="s">
        <v>264</v>
      </c>
      <c r="E9" s="5" t="s">
        <v>265</v>
      </c>
      <c r="F9" s="5" t="s">
        <v>266</v>
      </c>
    </row>
    <row r="10" customFormat="false" ht="41.75" hidden="false" customHeight="false" outlineLevel="0" collapsed="false">
      <c r="A10" s="13" t="s">
        <v>267</v>
      </c>
      <c r="B10" s="8" t="s">
        <v>268</v>
      </c>
      <c r="C10" s="8" t="s">
        <v>269</v>
      </c>
      <c r="D10" s="13" t="s">
        <v>270</v>
      </c>
      <c r="E10" s="8" t="s">
        <v>271</v>
      </c>
      <c r="F10" s="8" t="s">
        <v>272</v>
      </c>
    </row>
    <row r="11" customFormat="false" ht="16.4" hidden="false" customHeight="false" outlineLevel="0" collapsed="false">
      <c r="A11" s="10" t="s">
        <v>273</v>
      </c>
    </row>
    <row r="12" customFormat="false" ht="28.35" hidden="false" customHeight="false" outlineLevel="0" collapsed="false">
      <c r="A12" s="4" t="s">
        <v>274</v>
      </c>
      <c r="B12" s="4" t="s">
        <v>6</v>
      </c>
    </row>
    <row r="13" customFormat="false" ht="95.5" hidden="false" customHeight="false" outlineLevel="0" collapsed="false">
      <c r="A13" s="5" t="s">
        <v>275</v>
      </c>
      <c r="B13" s="5" t="s">
        <v>276</v>
      </c>
    </row>
    <row r="14" customFormat="false" ht="95.5" hidden="false" customHeight="false" outlineLevel="0" collapsed="false">
      <c r="A14" s="8" t="s">
        <v>150</v>
      </c>
      <c r="B14" s="8" t="s">
        <v>277</v>
      </c>
    </row>
    <row r="15" customFormat="false" ht="68.65" hidden="false" customHeight="false" outlineLevel="0" collapsed="false">
      <c r="A15" s="5" t="s">
        <v>278</v>
      </c>
      <c r="B15" s="5" t="s">
        <v>279</v>
      </c>
    </row>
    <row r="16" customFormat="false" ht="15" hidden="false" customHeight="false" outlineLevel="0" collapsed="false">
      <c r="A16" s="27" t="s">
        <v>280</v>
      </c>
    </row>
    <row r="17" customFormat="false" ht="15" hidden="false" customHeight="false" outlineLevel="0" collapsed="false">
      <c r="A17" s="4" t="s">
        <v>281</v>
      </c>
      <c r="B17" s="4" t="s">
        <v>282</v>
      </c>
      <c r="C17" s="4" t="s">
        <v>283</v>
      </c>
      <c r="D17" s="4" t="s">
        <v>284</v>
      </c>
    </row>
    <row r="18" customFormat="false" ht="15" hidden="false" customHeight="false" outlineLevel="0" collapsed="false">
      <c r="A18" s="7" t="s">
        <v>285</v>
      </c>
      <c r="B18" s="7" t="s">
        <v>286</v>
      </c>
      <c r="C18" s="7" t="s">
        <v>158</v>
      </c>
      <c r="D18" s="7" t="s">
        <v>161</v>
      </c>
    </row>
    <row r="19" customFormat="false" ht="28.35" hidden="false" customHeight="false" outlineLevel="0" collapsed="false">
      <c r="A19" s="13" t="s">
        <v>287</v>
      </c>
      <c r="B19" s="13" t="s">
        <v>288</v>
      </c>
      <c r="C19" s="13" t="s">
        <v>164</v>
      </c>
      <c r="D19" s="13" t="s">
        <v>289</v>
      </c>
    </row>
    <row r="20" customFormat="false" ht="28.35" hidden="false" customHeight="false" outlineLevel="0" collapsed="false">
      <c r="A20" s="7" t="s">
        <v>290</v>
      </c>
      <c r="B20" s="7" t="s">
        <v>291</v>
      </c>
      <c r="C20" s="7" t="s">
        <v>292</v>
      </c>
      <c r="D20" s="7" t="s">
        <v>293</v>
      </c>
    </row>
    <row r="21" customFormat="false" ht="28.35" hidden="false" customHeight="false" outlineLevel="0" collapsed="false">
      <c r="A21" s="13" t="s">
        <v>294</v>
      </c>
      <c r="B21" s="13" t="s">
        <v>295</v>
      </c>
      <c r="C21" s="13" t="s">
        <v>296</v>
      </c>
      <c r="D21" s="13" t="s">
        <v>297</v>
      </c>
    </row>
    <row r="22" customFormat="false" ht="28.35" hidden="false" customHeight="false" outlineLevel="0" collapsed="false">
      <c r="A22" s="7" t="s">
        <v>298</v>
      </c>
      <c r="B22" s="7" t="s">
        <v>299</v>
      </c>
      <c r="C22" s="7" t="s">
        <v>300</v>
      </c>
      <c r="D22" s="7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25.5" hidden="false" customHeight="true" outlineLevel="0" collapsed="false">
      <c r="A1" s="1" t="s">
        <v>302</v>
      </c>
    </row>
    <row r="2" customFormat="false" ht="15" hidden="false" customHeight="false" outlineLevel="0" collapsed="false">
      <c r="A2" s="2" t="s">
        <v>303</v>
      </c>
    </row>
    <row r="4" customFormat="false" ht="15" hidden="false" customHeight="false" outlineLevel="0" collapsed="false">
      <c r="A4" s="4" t="s">
        <v>51</v>
      </c>
      <c r="B4" s="4" t="s">
        <v>304</v>
      </c>
      <c r="C4" s="4" t="s">
        <v>305</v>
      </c>
      <c r="D4" s="4" t="s">
        <v>306</v>
      </c>
      <c r="E4" s="4" t="s">
        <v>307</v>
      </c>
      <c r="F4" s="4" t="s">
        <v>308</v>
      </c>
    </row>
    <row r="5" customFormat="false" ht="15" hidden="false" customHeight="false" outlineLevel="0" collapsed="false">
      <c r="A5" s="5" t="s">
        <v>309</v>
      </c>
      <c r="B5" s="5" t="s">
        <v>310</v>
      </c>
      <c r="C5" s="7" t="s">
        <v>311</v>
      </c>
      <c r="D5" s="7" t="s">
        <v>312</v>
      </c>
      <c r="E5" s="5" t="s">
        <v>313</v>
      </c>
      <c r="F5" s="5" t="s">
        <v>314</v>
      </c>
    </row>
    <row r="6" customFormat="false" ht="15" hidden="false" customHeight="false" outlineLevel="0" collapsed="false">
      <c r="A6" s="8" t="s">
        <v>309</v>
      </c>
      <c r="B6" s="13" t="s">
        <v>315</v>
      </c>
      <c r="C6" s="13" t="s">
        <v>312</v>
      </c>
      <c r="D6" s="13" t="s">
        <v>316</v>
      </c>
      <c r="E6" s="8" t="s">
        <v>317</v>
      </c>
      <c r="F6" s="8"/>
    </row>
    <row r="7" customFormat="false" ht="15" hidden="false" customHeight="false" outlineLevel="0" collapsed="false">
      <c r="A7" s="5" t="s">
        <v>309</v>
      </c>
      <c r="B7" s="5" t="s">
        <v>318</v>
      </c>
      <c r="C7" s="7" t="s">
        <v>316</v>
      </c>
      <c r="D7" s="7" t="s">
        <v>319</v>
      </c>
      <c r="E7" s="5" t="s">
        <v>317</v>
      </c>
      <c r="F7" s="5" t="s">
        <v>320</v>
      </c>
    </row>
    <row r="8" customFormat="false" ht="15" hidden="false" customHeight="false" outlineLevel="0" collapsed="false">
      <c r="A8" s="8" t="s">
        <v>309</v>
      </c>
      <c r="B8" s="8" t="s">
        <v>321</v>
      </c>
      <c r="C8" s="13" t="s">
        <v>322</v>
      </c>
      <c r="D8" s="13" t="s">
        <v>323</v>
      </c>
      <c r="E8" s="8" t="s">
        <v>317</v>
      </c>
      <c r="F8" s="8" t="s">
        <v>324</v>
      </c>
    </row>
    <row r="9" customFormat="false" ht="15" hidden="false" customHeight="false" outlineLevel="0" collapsed="false">
      <c r="A9" s="5" t="s">
        <v>309</v>
      </c>
      <c r="B9" s="5" t="s">
        <v>325</v>
      </c>
      <c r="C9" s="7" t="s">
        <v>326</v>
      </c>
      <c r="D9" s="7" t="s">
        <v>327</v>
      </c>
      <c r="E9" s="5" t="s">
        <v>317</v>
      </c>
      <c r="F9" s="5" t="s">
        <v>328</v>
      </c>
    </row>
    <row r="10" customFormat="false" ht="15" hidden="false" customHeight="false" outlineLevel="0" collapsed="false">
      <c r="A10" s="8" t="s">
        <v>329</v>
      </c>
      <c r="B10" s="8" t="s">
        <v>330</v>
      </c>
      <c r="C10" s="13" t="s">
        <v>331</v>
      </c>
      <c r="D10" s="13" t="s">
        <v>332</v>
      </c>
      <c r="E10" s="8" t="s">
        <v>333</v>
      </c>
      <c r="F10" s="8" t="s">
        <v>334</v>
      </c>
    </row>
    <row r="11" customFormat="false" ht="15" hidden="false" customHeight="false" outlineLevel="0" collapsed="false">
      <c r="A11" s="5" t="s">
        <v>329</v>
      </c>
      <c r="B11" s="5" t="s">
        <v>335</v>
      </c>
      <c r="C11" s="7" t="s">
        <v>332</v>
      </c>
      <c r="D11" s="7" t="s">
        <v>332</v>
      </c>
      <c r="E11" s="5" t="s">
        <v>336</v>
      </c>
      <c r="F11" s="5" t="s">
        <v>337</v>
      </c>
    </row>
    <row r="12" customFormat="false" ht="15" hidden="false" customHeight="false" outlineLevel="0" collapsed="false">
      <c r="A12" s="8" t="s">
        <v>338</v>
      </c>
      <c r="B12" s="8" t="s">
        <v>339</v>
      </c>
      <c r="C12" s="13" t="s">
        <v>340</v>
      </c>
      <c r="D12" s="13" t="s">
        <v>341</v>
      </c>
      <c r="E12" s="8" t="s">
        <v>342</v>
      </c>
      <c r="F12" s="8" t="s">
        <v>343</v>
      </c>
    </row>
    <row r="13" customFormat="false" ht="15" hidden="false" customHeight="false" outlineLevel="0" collapsed="false">
      <c r="A13" s="5" t="s">
        <v>338</v>
      </c>
      <c r="B13" s="5" t="s">
        <v>344</v>
      </c>
      <c r="C13" s="7" t="s">
        <v>341</v>
      </c>
      <c r="D13" s="7" t="s">
        <v>345</v>
      </c>
      <c r="E13" s="5" t="s">
        <v>338</v>
      </c>
      <c r="F13" s="7" t="s">
        <v>346</v>
      </c>
    </row>
    <row r="14" customFormat="false" ht="15" hidden="false" customHeight="false" outlineLevel="0" collapsed="false">
      <c r="A14" s="8" t="s">
        <v>338</v>
      </c>
      <c r="B14" s="8" t="s">
        <v>251</v>
      </c>
      <c r="C14" s="8" t="s">
        <v>347</v>
      </c>
      <c r="D14" s="8" t="s">
        <v>347</v>
      </c>
      <c r="E14" s="8" t="s">
        <v>348</v>
      </c>
      <c r="F14" s="8" t="s">
        <v>349</v>
      </c>
    </row>
    <row r="15" customFormat="false" ht="15" hidden="false" customHeight="false" outlineLevel="0" collapsed="false">
      <c r="A15" s="5" t="s">
        <v>350</v>
      </c>
      <c r="B15" s="5" t="s">
        <v>351</v>
      </c>
      <c r="C15" s="5" t="s">
        <v>347</v>
      </c>
      <c r="D15" s="7" t="s">
        <v>345</v>
      </c>
      <c r="E15" s="5" t="s">
        <v>348</v>
      </c>
      <c r="F15" s="5" t="s">
        <v>352</v>
      </c>
    </row>
    <row r="16" customFormat="false" ht="15" hidden="false" customHeight="false" outlineLevel="0" collapsed="false">
      <c r="A16" s="8" t="s">
        <v>350</v>
      </c>
      <c r="B16" s="8" t="s">
        <v>353</v>
      </c>
      <c r="C16" s="13" t="s">
        <v>354</v>
      </c>
      <c r="D16" s="13" t="s">
        <v>355</v>
      </c>
      <c r="E16" s="8" t="s">
        <v>105</v>
      </c>
      <c r="F16" s="8" t="s">
        <v>356</v>
      </c>
    </row>
    <row r="17" customFormat="false" ht="15" hidden="false" customHeight="false" outlineLevel="0" collapsed="false">
      <c r="A17" s="5" t="s">
        <v>357</v>
      </c>
      <c r="B17" s="7" t="s">
        <v>358</v>
      </c>
      <c r="C17" s="7" t="s">
        <v>355</v>
      </c>
      <c r="D17" s="7" t="s">
        <v>359</v>
      </c>
      <c r="E17" s="5" t="s">
        <v>360</v>
      </c>
      <c r="F17" s="7" t="s">
        <v>361</v>
      </c>
    </row>
    <row r="18" customFormat="false" ht="15" hidden="false" customHeight="false" outlineLevel="0" collapsed="false">
      <c r="A18" s="8" t="s">
        <v>357</v>
      </c>
      <c r="B18" s="8" t="s">
        <v>362</v>
      </c>
      <c r="C18" s="13" t="s">
        <v>359</v>
      </c>
      <c r="D18" s="13" t="s">
        <v>363</v>
      </c>
      <c r="E18" s="8" t="s">
        <v>364</v>
      </c>
      <c r="F18" s="8"/>
    </row>
    <row r="20" customFormat="false" ht="15" hidden="false" customHeight="false" outlineLevel="0" collapsed="false">
      <c r="A20" s="3" t="s">
        <v>365</v>
      </c>
    </row>
    <row r="21" customFormat="false" ht="15" hidden="false" customHeight="false" outlineLevel="0" collapsed="false">
      <c r="A21" s="4" t="s">
        <v>366</v>
      </c>
      <c r="B21" s="4" t="s">
        <v>6</v>
      </c>
    </row>
    <row r="22" customFormat="false" ht="55.2" hidden="false" customHeight="false" outlineLevel="0" collapsed="false">
      <c r="A22" s="5" t="s">
        <v>367</v>
      </c>
      <c r="B22" s="5" t="s">
        <v>368</v>
      </c>
    </row>
    <row r="23" customFormat="false" ht="41.75" hidden="false" customHeight="false" outlineLevel="0" collapsed="false">
      <c r="A23" s="8" t="s">
        <v>369</v>
      </c>
      <c r="B23" s="8" t="s">
        <v>370</v>
      </c>
    </row>
    <row r="24" customFormat="false" ht="41.75" hidden="false" customHeight="false" outlineLevel="0" collapsed="false">
      <c r="A24" s="5" t="s">
        <v>371</v>
      </c>
      <c r="B24" s="5" t="s">
        <v>372</v>
      </c>
    </row>
    <row r="25" customFormat="false" ht="28.35" hidden="false" customHeight="false" outlineLevel="0" collapsed="false">
      <c r="A25" s="8" t="s">
        <v>373</v>
      </c>
      <c r="B25" s="8" t="s">
        <v>374</v>
      </c>
    </row>
    <row r="26" customFormat="false" ht="28.35" hidden="false" customHeight="false" outlineLevel="0" collapsed="false">
      <c r="A26" s="5" t="s">
        <v>375</v>
      </c>
      <c r="B26" s="5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6" min="5" style="0" width="40"/>
  </cols>
  <sheetData>
    <row r="1" customFormat="false" ht="25.5" hidden="false" customHeight="true" outlineLevel="0" collapsed="false">
      <c r="A1" s="1" t="s">
        <v>377</v>
      </c>
    </row>
    <row r="2" customFormat="false" ht="15" hidden="false" customHeight="false" outlineLevel="0" collapsed="false">
      <c r="A2" s="2" t="s">
        <v>378</v>
      </c>
    </row>
    <row r="4" customFormat="false" ht="15" hidden="false" customHeight="false" outlineLevel="0" collapsed="false">
      <c r="A4" s="4" t="s">
        <v>50</v>
      </c>
      <c r="B4" s="4" t="s">
        <v>379</v>
      </c>
      <c r="C4" s="4" t="s">
        <v>380</v>
      </c>
      <c r="D4" s="4" t="s">
        <v>381</v>
      </c>
      <c r="E4" s="4" t="s">
        <v>382</v>
      </c>
      <c r="F4" s="4" t="s">
        <v>383</v>
      </c>
    </row>
    <row r="5" customFormat="false" ht="28.35" hidden="false" customHeight="false" outlineLevel="0" collapsed="false">
      <c r="A5" s="5" t="n">
        <v>1</v>
      </c>
      <c r="B5" s="5" t="s">
        <v>384</v>
      </c>
      <c r="C5" s="5" t="s">
        <v>18</v>
      </c>
      <c r="D5" s="5" t="s">
        <v>385</v>
      </c>
      <c r="E5" s="5" t="s">
        <v>386</v>
      </c>
      <c r="F5" s="5" t="s">
        <v>387</v>
      </c>
    </row>
    <row r="6" customFormat="false" ht="15" hidden="false" customHeight="false" outlineLevel="0" collapsed="false">
      <c r="A6" s="8" t="n">
        <v>2</v>
      </c>
      <c r="B6" s="8" t="s">
        <v>388</v>
      </c>
      <c r="C6" s="8" t="s">
        <v>123</v>
      </c>
      <c r="D6" s="8" t="s">
        <v>123</v>
      </c>
      <c r="E6" s="8" t="s">
        <v>389</v>
      </c>
      <c r="F6" s="8" t="s">
        <v>390</v>
      </c>
    </row>
    <row r="7" customFormat="false" ht="15" hidden="false" customHeight="false" outlineLevel="0" collapsed="false">
      <c r="A7" s="5" t="n">
        <v>3</v>
      </c>
      <c r="B7" s="5" t="s">
        <v>391</v>
      </c>
      <c r="C7" s="5" t="s">
        <v>18</v>
      </c>
      <c r="D7" s="5" t="s">
        <v>123</v>
      </c>
      <c r="E7" s="5" t="s">
        <v>392</v>
      </c>
      <c r="F7" s="5" t="s">
        <v>393</v>
      </c>
    </row>
    <row r="8" customFormat="false" ht="15" hidden="false" customHeight="false" outlineLevel="0" collapsed="false">
      <c r="A8" s="8" t="n">
        <v>4</v>
      </c>
      <c r="B8" s="8" t="s">
        <v>394</v>
      </c>
      <c r="C8" s="8" t="s">
        <v>123</v>
      </c>
      <c r="D8" s="8" t="s">
        <v>18</v>
      </c>
      <c r="E8" s="8" t="s">
        <v>395</v>
      </c>
      <c r="F8" s="8" t="s">
        <v>396</v>
      </c>
    </row>
    <row r="9" customFormat="false" ht="15" hidden="false" customHeight="false" outlineLevel="0" collapsed="false">
      <c r="A9" s="5" t="n">
        <v>5</v>
      </c>
      <c r="B9" s="5" t="s">
        <v>397</v>
      </c>
      <c r="C9" s="5" t="s">
        <v>18</v>
      </c>
      <c r="D9" s="5" t="s">
        <v>18</v>
      </c>
      <c r="E9" s="5" t="s">
        <v>398</v>
      </c>
      <c r="F9" s="5" t="s">
        <v>399</v>
      </c>
    </row>
    <row r="10" customFormat="false" ht="28.35" hidden="false" customHeight="false" outlineLevel="0" collapsed="false">
      <c r="A10" s="8" t="n">
        <v>6</v>
      </c>
      <c r="B10" s="8" t="s">
        <v>400</v>
      </c>
      <c r="C10" s="8" t="s">
        <v>18</v>
      </c>
      <c r="D10" s="8" t="s">
        <v>123</v>
      </c>
      <c r="E10" s="8" t="s">
        <v>401</v>
      </c>
      <c r="F10" s="8" t="s">
        <v>402</v>
      </c>
    </row>
    <row r="11" customFormat="false" ht="28.35" hidden="false" customHeight="false" outlineLevel="0" collapsed="false">
      <c r="A11" s="5" t="n">
        <v>7</v>
      </c>
      <c r="B11" s="5" t="s">
        <v>403</v>
      </c>
      <c r="C11" s="5" t="s">
        <v>18</v>
      </c>
      <c r="D11" s="5" t="s">
        <v>123</v>
      </c>
      <c r="E11" s="5" t="s">
        <v>404</v>
      </c>
      <c r="F11" s="5" t="s">
        <v>405</v>
      </c>
    </row>
    <row r="12" customFormat="false" ht="15" hidden="false" customHeight="false" outlineLevel="0" collapsed="false">
      <c r="A12" s="8" t="n">
        <v>8</v>
      </c>
      <c r="B12" s="8" t="s">
        <v>406</v>
      </c>
      <c r="C12" s="8" t="s">
        <v>18</v>
      </c>
      <c r="D12" s="8" t="s">
        <v>18</v>
      </c>
      <c r="E12" s="8" t="s">
        <v>407</v>
      </c>
      <c r="F12" s="8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2026-08-19T02:26:26Z</dcterms:created>
  <dc:creator>openpyxl</dc:creator>
  <dc:description/>
  <dc:language>en-US</dc:language>
  <cp:lastModifiedBy/>
  <dcterms:modified xsi:type="dcterms:W3CDTF">2026-08-19T02:26:26Z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